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WBS模板" sheetId="2" state="visible" r:id="rId2"/>
    <sheet xmlns:r="http://schemas.openxmlformats.org/officeDocument/2006/relationships" name="WBS词典" sheetId="3" state="visible" r:id="rId3"/>
    <sheet xmlns:r="http://schemas.openxmlformats.org/officeDocument/2006/relationships" name="进度汇总" sheetId="4" state="visible" r:id="rId4"/>
  </sheets>
  <definedNames>
    <definedName name="_xlnm._FilterDatabase" localSheetId="1" hidden="1">'WBS模板'!$A$3:$O$78</definedName>
    <definedName name="_xlnm._FilterDatabase" localSheetId="2" hidden="1">'WBS词典'!$A$2:$H$17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000000"/>
      <sz val="10"/>
    </font>
    <font>
      <name val="微软雅黑"/>
      <b val="1"/>
      <color rgb="00FFFFFF"/>
      <sz val="11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FFFFFF"/>
      <sz val="15"/>
    </font>
    <font>
      <name val="微软雅黑"/>
      <color rgb="00595959"/>
      <sz val="10"/>
    </font>
    <font>
      <name val="微软雅黑"/>
      <color rgb="00C00000"/>
      <sz val="10"/>
    </font>
    <font>
      <name val="微软雅黑"/>
      <b val="1"/>
      <color rgb="001F4E78"/>
      <sz val="12"/>
    </font>
    <font>
      <name val="微软雅黑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70AD47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FDEA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9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2"/>
    </xf>
    <xf numFmtId="0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3" fontId="0" fillId="0" borderId="1" pivotButton="0" quotePrefix="0" xfId="0"/>
    <xf numFmtId="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1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 indent="1"/>
    </xf>
    <xf numFmtId="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E7E6E6"/>
        </patternFill>
      </fill>
    </dxf>
    <dxf>
      <font>
        <color rgb="001F4E78"/>
      </font>
      <fill>
        <patternFill patternType="solid">
          <fgColor rgb="00DDEBF7"/>
        </patternFill>
      </fill>
    </dxf>
    <dxf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任务状态分布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'进度汇总'!$A$5:$A$9</f>
            </numRef>
          </cat>
          <val>
            <numRef>
              <f>'进度汇总'!$B$5:$B$9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任务数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A6A6A6"/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 ht="36" customHeight="1">
      <c r="A1" s="1" t="inlineStr">
        <is>
          <t>WBS工作分解结构模板 — 使用说明</t>
        </is>
      </c>
      <c r="B1" s="2" t="n"/>
    </row>
    <row r="2" ht="8" customHeight="1"/>
    <row r="3" ht="26" customHeight="1">
      <c r="A3" s="3" t="inlineStr">
        <is>
          <t>一、什么是WBS</t>
        </is>
      </c>
      <c r="B3" s="4" t="n"/>
    </row>
    <row r="4" ht="35" customHeight="1">
      <c r="A4" s="5" t="inlineStr"/>
      <c r="B4" s="6" t="inlineStr">
        <is>
          <t>WBS（Work Breakdown Structure，工作分解结构）：把项目按「可交付成果」逐层分解，直到每一层都是可估算、可指派、可跟踪的工作包（Work Package）。</t>
        </is>
      </c>
    </row>
    <row r="5" ht="20" customHeight="1">
      <c r="A5" s="5" t="inlineStr"/>
      <c r="B5" s="6" t="inlineStr">
        <is>
          <t>它是进度计划、成本预算、资源分配的基础——先有WBS，再排计划（甘特图）。</t>
        </is>
      </c>
    </row>
    <row r="6" ht="8" customHeight="1"/>
    <row r="7" ht="26" customHeight="1">
      <c r="A7" s="3" t="inlineStr">
        <is>
          <t>二、编制原则</t>
        </is>
      </c>
      <c r="B7" s="4" t="n"/>
    </row>
    <row r="8" ht="20" customHeight="1">
      <c r="A8" s="7" t="inlineStr">
        <is>
          <t>1. 100%原则</t>
        </is>
      </c>
      <c r="B8" s="6" t="inlineStr">
        <is>
          <t>同一层级的子项之和 = 父项的全部工作：不多做（防镀金）、不漏做（防遗漏）。</t>
        </is>
      </c>
    </row>
    <row r="9" ht="20" customHeight="1">
      <c r="A9" s="7" t="inlineStr">
        <is>
          <t>2. 成果导向</t>
        </is>
      </c>
      <c r="B9" s="6" t="inlineStr">
        <is>
          <t>以交付物/成果命名（如「需求规格说明书」），避免只写动作（如「做需求」）。</t>
        </is>
      </c>
    </row>
    <row r="10" ht="20" customHeight="1">
      <c r="A10" s="7" t="inlineStr">
        <is>
          <t>3. MECE</t>
        </is>
      </c>
      <c r="B10" s="6" t="inlineStr">
        <is>
          <t>同级任务相互独立、完全穷尽，不重叠、无遗漏。</t>
        </is>
      </c>
    </row>
    <row r="11" ht="20" customHeight="1">
      <c r="A11" s="7" t="inlineStr">
        <is>
          <t>4. 粒度适中</t>
        </is>
      </c>
      <c r="B11" s="6" t="inlineStr">
        <is>
          <t>工作包以 8～80 小时完成为宜（经验法则）；一个工作包只对应一个直接责任人。</t>
        </is>
      </c>
    </row>
    <row r="12" ht="20" customHeight="1">
      <c r="A12" s="7" t="inlineStr">
        <is>
          <t>5. 层级适度</t>
        </is>
      </c>
      <c r="B12" s="6" t="inlineStr">
        <is>
          <t>一般 3～4 层；大项目可先按阶段（Phase）划分，再按交付物细分。</t>
        </is>
      </c>
    </row>
    <row r="13" ht="8" customHeight="1"/>
    <row r="14" ht="26" customHeight="1">
      <c r="A14" s="3" t="inlineStr">
        <is>
          <t>三、编号规则</t>
        </is>
      </c>
      <c r="B14" s="4" t="n"/>
    </row>
    <row r="15" ht="20" customHeight="1">
      <c r="A15" s="7" t="inlineStr">
        <is>
          <t>第一层</t>
        </is>
      </c>
      <c r="B15" s="6" t="inlineStr">
        <is>
          <t>1、2、3……（阶段或主要交付物）</t>
        </is>
      </c>
    </row>
    <row r="16" ht="20" customHeight="1">
      <c r="A16" s="7" t="inlineStr">
        <is>
          <t>第二层</t>
        </is>
      </c>
      <c r="B16" s="6" t="inlineStr">
        <is>
          <t>1.1、1.2……；第三层：1.1.1、1.1.2……，依此类推。</t>
        </is>
      </c>
    </row>
    <row r="17" ht="20" customHeight="1">
      <c r="A17" s="7" t="inlineStr">
        <is>
          <t>注意</t>
        </is>
      </c>
      <c r="B17" s="6" t="inlineStr">
        <is>
          <t>编号本身即表达层级与归属关系，请勿跳号、重号；建议以文本格式录入，避免被识别为小数。</t>
        </is>
      </c>
    </row>
    <row r="18" ht="8" customHeight="1"/>
    <row r="19" ht="26" customHeight="1">
      <c r="A19" s="3" t="inlineStr">
        <is>
          <t>四、模板使用步骤</t>
        </is>
      </c>
      <c r="B19" s="4" t="n"/>
    </row>
    <row r="20" ht="20" customHeight="1">
      <c r="A20" s="7" t="inlineStr">
        <is>
          <t>步骤1</t>
        </is>
      </c>
      <c r="B20" s="6" t="inlineStr">
        <is>
          <t>在「WBS模板」表第2行填写项目名称、项目经理、编制日期与版本。</t>
        </is>
      </c>
    </row>
    <row r="21" ht="20" customHeight="1">
      <c r="A21" s="7" t="inlineStr">
        <is>
          <t>步骤2</t>
        </is>
      </c>
      <c r="B21" s="6" t="inlineStr">
        <is>
          <t>自上而下逐层分解：先列一级（阶段/交付物），再细分二级、三级工作包。</t>
        </is>
      </c>
    </row>
    <row r="22" ht="20" customHeight="1">
      <c r="A22" s="7" t="inlineStr">
        <is>
          <t>步骤3</t>
        </is>
      </c>
      <c r="B22" s="6" t="inlineStr">
        <is>
          <t>逐行补充交付物、负责人、起止日期；「工期」自动计算（含首尾日），无需手填。</t>
        </is>
      </c>
    </row>
    <row r="23" ht="20" customHeight="1">
      <c r="A23" s="7" t="inlineStr">
        <is>
          <t>步骤4</t>
        </is>
      </c>
      <c r="B23" s="6" t="inlineStr">
        <is>
          <t>用下拉框填「状态」「优先级」；「进度」填百分比（如 50%），自动显示数据条。</t>
        </is>
      </c>
    </row>
    <row r="24" ht="20" customHeight="1">
      <c r="A24" s="7" t="inlineStr">
        <is>
          <t>步骤5</t>
        </is>
      </c>
      <c r="B24" s="6" t="inlineStr">
        <is>
          <t>超期且未完成的任务行会自动标红提醒（见示例行 2.1.2）。</t>
        </is>
      </c>
    </row>
    <row r="25" ht="20" customHeight="1">
      <c r="A25" s="7" t="inlineStr">
        <is>
          <t>步骤6</t>
        </is>
      </c>
      <c r="B25" s="6" t="inlineStr">
        <is>
          <t>在「WBS词典」页为关键工作包补充定义与验收标准；「进度汇总」页自动统计出数。</t>
        </is>
      </c>
    </row>
    <row r="26" ht="20" customHeight="1">
      <c r="A26" s="7" t="inlineStr">
        <is>
          <t>步骤7</t>
        </is>
      </c>
      <c r="B26" s="6" t="inlineStr">
        <is>
          <t>正式使用时，删除第4行起的灰色示例数据即可（保留前3行标题）。</t>
        </is>
      </c>
    </row>
    <row r="27" ht="8" customHeight="1"/>
    <row r="28" ht="26" customHeight="1">
      <c r="A28" s="3" t="inlineStr">
        <is>
          <t>五、表格列说明</t>
        </is>
      </c>
      <c r="B28" s="4" t="n"/>
    </row>
    <row r="29" ht="20" customHeight="1">
      <c r="A29" s="7" t="inlineStr">
        <is>
          <t>WBS编号</t>
        </is>
      </c>
      <c r="B29" s="6" t="inlineStr">
        <is>
          <t>任务的层级编码，如 1.2.1。</t>
        </is>
      </c>
    </row>
    <row r="30" ht="20" customHeight="1">
      <c r="A30" s="7" t="inlineStr">
        <is>
          <t>任务名称</t>
        </is>
      </c>
      <c r="B30" s="6" t="inlineStr">
        <is>
          <t>以成果命名；单元格按层级自动缩进，结构一目了然。</t>
        </is>
      </c>
    </row>
    <row r="31" ht="20" customHeight="1">
      <c r="A31" s="7" t="inlineStr">
        <is>
          <t>层级</t>
        </is>
      </c>
      <c r="B31" s="6" t="inlineStr">
        <is>
          <t>1=第一层……用于表头筛选（如只看一级=项目里程碑视图）。</t>
        </is>
      </c>
    </row>
    <row r="32" ht="20" customHeight="1">
      <c r="A32" s="7" t="inlineStr">
        <is>
          <t>交付物/成果</t>
        </is>
      </c>
      <c r="B32" s="6" t="inlineStr">
        <is>
          <t>任务完成后产出的、可验证的成果物。</t>
        </is>
      </c>
    </row>
    <row r="33" ht="20" customHeight="1">
      <c r="A33" s="7" t="inlineStr">
        <is>
          <t>负责人</t>
        </is>
      </c>
      <c r="B33" s="6" t="inlineStr">
        <is>
          <t>该工作包的直接责任人（唯一）。</t>
        </is>
      </c>
    </row>
    <row r="34" ht="20" customHeight="1">
      <c r="A34" s="7" t="inlineStr">
        <is>
          <t>开始/结束日期</t>
        </is>
      </c>
      <c r="B34" s="6" t="inlineStr">
        <is>
          <t>格式 yyyy/m/d。</t>
        </is>
      </c>
    </row>
    <row r="35" ht="20" customHeight="1">
      <c r="A35" s="7" t="inlineStr">
        <is>
          <t>工期(天)</t>
        </is>
      </c>
      <c r="B35" s="6" t="inlineStr">
        <is>
          <t>自动 = 结束日期 − 开始日期 + 1。</t>
        </is>
      </c>
    </row>
    <row r="36" ht="20" customHeight="1">
      <c r="A36" s="7" t="inlineStr">
        <is>
          <t>前置任务</t>
        </is>
      </c>
      <c r="B36" s="6" t="inlineStr">
        <is>
          <t>紧前工作的 WBS 编号；多个用分号隔开（如 4.1.2;4.2.2）。</t>
        </is>
      </c>
    </row>
    <row r="37" ht="20" customHeight="1">
      <c r="A37" s="7" t="inlineStr">
        <is>
          <t>状态</t>
        </is>
      </c>
      <c r="B37" s="6" t="inlineStr">
        <is>
          <t>下拉选择：未开始 / 进行中 / 已完成 / 已延期 / 暂停，自动着色。</t>
        </is>
      </c>
    </row>
    <row r="38" ht="20" customHeight="1">
      <c r="A38" s="7" t="inlineStr">
        <is>
          <t>进度</t>
        </is>
      </c>
      <c r="B38" s="6" t="inlineStr">
        <is>
          <t>0%–100% 的百分比，显示蓝色数据条。</t>
        </is>
      </c>
    </row>
    <row r="39" ht="20" customHeight="1">
      <c r="A39" s="7" t="inlineStr">
        <is>
          <t>优先级</t>
        </is>
      </c>
      <c r="B39" s="6" t="inlineStr">
        <is>
          <t>下拉选择：高 / 中 / 低。</t>
        </is>
      </c>
    </row>
    <row r="40" ht="20" customHeight="1">
      <c r="A40" s="7" t="inlineStr">
        <is>
          <t>预算/实际成本</t>
        </is>
      </c>
      <c r="B40" s="6" t="inlineStr">
        <is>
          <t>单位：元；建议只在最底层工作包填写，汇总页自动合计。</t>
        </is>
      </c>
    </row>
    <row r="41" ht="20" customHeight="1">
      <c r="A41" s="7" t="inlineStr">
        <is>
          <t>备注</t>
        </is>
      </c>
      <c r="B41" s="6" t="inlineStr">
        <is>
          <t>风险、假设、审批记录等补充信息。</t>
        </is>
      </c>
    </row>
    <row r="42" ht="8" customHeight="1"/>
    <row r="43" ht="26" customHeight="1">
      <c r="A43" s="3" t="inlineStr">
        <is>
          <t>六、实用技巧</t>
        </is>
      </c>
      <c r="B43" s="4" t="n"/>
    </row>
    <row r="44" ht="20" customHeight="1">
      <c r="A44" s="7" t="inlineStr">
        <is>
          <t>筛选</t>
        </is>
      </c>
      <c r="B44" s="6" t="inlineStr">
        <is>
          <t>表头已开启自动筛选：可按层级、负责人、状态、优先级快速过滤。</t>
        </is>
      </c>
    </row>
    <row r="45" ht="20" customHeight="1">
      <c r="A45" s="7" t="inlineStr">
        <is>
          <t>新增行</t>
        </is>
      </c>
      <c r="B45" s="6" t="inlineStr">
        <is>
          <t>示例行下方预留了带公式和下拉的空白行；若需插行，请先「复制上一行」再粘贴，保留公式与格式。</t>
        </is>
      </c>
    </row>
    <row r="46" ht="20" customHeight="1">
      <c r="A46" s="7" t="inlineStr">
        <is>
          <t>里程碑</t>
        </is>
      </c>
      <c r="B46" s="6" t="inlineStr">
        <is>
          <t>用 1 天任务表示，名称后加 ◆ 标记（如示例中的 1.1.2、5.2.3）。</t>
        </is>
      </c>
    </row>
    <row r="47" ht="20" customHeight="1">
      <c r="A47" s="7" t="inlineStr">
        <is>
          <t>打印</t>
        </is>
      </c>
      <c r="B47" s="6" t="inlineStr">
        <is>
          <t>已设置横向打印、按宽度缩放为一页，可直接打印或另存PDF。</t>
        </is>
      </c>
    </row>
    <row r="48" ht="20" customHeight="1">
      <c r="A48" s="7" t="inlineStr">
        <is>
          <t>联动</t>
        </is>
      </c>
      <c r="B48" s="6" t="inlineStr">
        <is>
          <t>WBS 完成后，可将「WBS编号+任务名称+起止日期」复制到甘特图/进度计划工具中直接使用。</t>
        </is>
      </c>
    </row>
  </sheetData>
  <mergeCells count="7">
    <mergeCell ref="A7:B7"/>
    <mergeCell ref="A43:B43"/>
    <mergeCell ref="A19:B19"/>
    <mergeCell ref="A28:B28"/>
    <mergeCell ref="A14:B14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 fitToPage="1"/>
  </sheetPr>
  <dimension ref="A1:O10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7" customWidth="1" min="2" max="2"/>
    <col width="7" customWidth="1" min="3" max="3"/>
    <col width="24" customWidth="1" min="4" max="4"/>
    <col width="10" customWidth="1" min="5" max="5"/>
    <col width="11" customWidth="1" min="6" max="6"/>
    <col width="11" customWidth="1" min="7" max="7"/>
    <col width="10" customWidth="1" min="8" max="8"/>
    <col width="12" customWidth="1" min="9" max="9"/>
    <col width="10" customWidth="1" min="10" max="10"/>
    <col width="9" customWidth="1" min="11" max="11"/>
    <col width="9" customWidth="1" min="12" max="12"/>
    <col width="13" customWidth="1" min="13" max="13"/>
    <col width="13" customWidth="1" min="14" max="14"/>
    <col width="26" customWidth="1" min="15" max="15"/>
  </cols>
  <sheetData>
    <row r="1" ht="34" customHeight="1">
      <c r="A1" s="8" t="inlineStr">
        <is>
          <t>项目工作分解结构（WBS）表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2" customHeight="1">
      <c r="A2" s="9" t="inlineStr">
        <is>
          <t>项目名称：XX集团ERP升级项目（示例）</t>
        </is>
      </c>
      <c r="F2" s="9" t="inlineStr">
        <is>
          <t>项目经理：王强</t>
        </is>
      </c>
      <c r="I2" s="9" t="inlineStr">
        <is>
          <t>编制日期：2026/9/1</t>
        </is>
      </c>
      <c r="L2" s="9" t="inlineStr">
        <is>
          <t>版本：V1.0</t>
        </is>
      </c>
      <c r="N2" s="9" t="inlineStr">
        <is>
          <t>项目状态：进行中</t>
        </is>
      </c>
    </row>
    <row r="3" ht="30" customHeight="1">
      <c r="A3" s="10" t="inlineStr">
        <is>
          <t>WBS编号</t>
        </is>
      </c>
      <c r="B3" s="10" t="inlineStr">
        <is>
          <t>任务名称</t>
        </is>
      </c>
      <c r="C3" s="10" t="inlineStr">
        <is>
          <t>层级</t>
        </is>
      </c>
      <c r="D3" s="10" t="inlineStr">
        <is>
          <t>交付物/成果</t>
        </is>
      </c>
      <c r="E3" s="10" t="inlineStr">
        <is>
          <t>负责人</t>
        </is>
      </c>
      <c r="F3" s="10" t="inlineStr">
        <is>
          <t>开始日期</t>
        </is>
      </c>
      <c r="G3" s="10" t="inlineStr">
        <is>
          <t>结束日期</t>
        </is>
      </c>
      <c r="H3" s="10" t="inlineStr">
        <is>
          <t>工期(天)</t>
        </is>
      </c>
      <c r="I3" s="10" t="inlineStr">
        <is>
          <t>前置任务</t>
        </is>
      </c>
      <c r="J3" s="10" t="inlineStr">
        <is>
          <t>状态</t>
        </is>
      </c>
      <c r="K3" s="10" t="inlineStr">
        <is>
          <t>进度</t>
        </is>
      </c>
      <c r="L3" s="10" t="inlineStr">
        <is>
          <t>优先级</t>
        </is>
      </c>
      <c r="M3" s="10" t="inlineStr">
        <is>
          <t>预算(元)</t>
        </is>
      </c>
      <c r="N3" s="10" t="inlineStr">
        <is>
          <t>实际成本(元)</t>
        </is>
      </c>
      <c r="O3" s="10" t="inlineStr">
        <is>
          <t>备注</t>
        </is>
      </c>
    </row>
    <row r="4" ht="36" customHeight="1">
      <c r="A4" s="11" t="inlineStr">
        <is>
          <t>1</t>
        </is>
      </c>
      <c r="B4" s="12" t="inlineStr">
        <is>
          <t>项目管理</t>
        </is>
      </c>
      <c r="C4" s="13" t="n">
        <v>1</v>
      </c>
      <c r="D4" s="14" t="inlineStr">
        <is>
          <t>项目管理计划、验收报告等</t>
        </is>
      </c>
      <c r="E4" s="13" t="inlineStr">
        <is>
          <t>王强</t>
        </is>
      </c>
      <c r="F4" s="15" t="n">
        <v>46251</v>
      </c>
      <c r="G4" s="15" t="n">
        <v>46381</v>
      </c>
      <c r="H4" s="13">
        <f>IF(OR(F4="",G4=""),"",G4-F4+1)</f>
        <v/>
      </c>
      <c r="I4" s="13" t="n"/>
      <c r="J4" s="13" t="inlineStr">
        <is>
          <t>进行中</t>
        </is>
      </c>
      <c r="K4" s="16" t="n">
        <v>0.35</v>
      </c>
      <c r="L4" s="13" t="inlineStr">
        <is>
          <t>高</t>
        </is>
      </c>
      <c r="M4" s="17" t="n"/>
      <c r="N4" s="17" t="n"/>
      <c r="O4" s="14" t="inlineStr">
        <is>
          <t>贯穿项目全周期</t>
        </is>
      </c>
    </row>
    <row r="5" ht="21" customHeight="1">
      <c r="A5" s="18" t="inlineStr">
        <is>
          <t>1.1</t>
        </is>
      </c>
      <c r="B5" s="19" t="inlineStr">
        <is>
          <t>项目启动</t>
        </is>
      </c>
      <c r="C5" s="20" t="n">
        <v>2</v>
      </c>
      <c r="D5" s="21" t="inlineStr">
        <is>
          <t>项目章程、启动会纪要</t>
        </is>
      </c>
      <c r="E5" s="20" t="inlineStr">
        <is>
          <t>王强</t>
        </is>
      </c>
      <c r="F5" s="22" t="n">
        <v>46251</v>
      </c>
      <c r="G5" s="22" t="n">
        <v>46254</v>
      </c>
      <c r="H5" s="20">
        <f>IF(OR(F5="",G5=""),"",G5-F5+1)</f>
        <v/>
      </c>
      <c r="I5" s="20" t="n"/>
      <c r="J5" s="20" t="inlineStr">
        <is>
          <t>已完成</t>
        </is>
      </c>
      <c r="K5" s="23" t="n">
        <v>1</v>
      </c>
      <c r="L5" s="20" t="inlineStr">
        <is>
          <t>高</t>
        </is>
      </c>
      <c r="M5" s="24" t="n"/>
      <c r="N5" s="24" t="n"/>
      <c r="O5" s="21" t="n"/>
    </row>
    <row r="6" ht="21" customHeight="1">
      <c r="A6" s="20" t="inlineStr">
        <is>
          <t>1.1.1</t>
        </is>
      </c>
      <c r="B6" s="25" t="inlineStr">
        <is>
          <t>制定项目章程</t>
        </is>
      </c>
      <c r="C6" s="20" t="n">
        <v>3</v>
      </c>
      <c r="D6" s="21" t="inlineStr">
        <is>
          <t>项目章程（批准版）</t>
        </is>
      </c>
      <c r="E6" s="20" t="inlineStr">
        <is>
          <t>王强</t>
        </is>
      </c>
      <c r="F6" s="22" t="n">
        <v>46251</v>
      </c>
      <c r="G6" s="22" t="n">
        <v>46253</v>
      </c>
      <c r="H6" s="20">
        <f>IF(OR(F6="",G6=""),"",G6-F6+1)</f>
        <v/>
      </c>
      <c r="I6" s="20" t="n"/>
      <c r="J6" s="20" t="inlineStr">
        <is>
          <t>已完成</t>
        </is>
      </c>
      <c r="K6" s="23" t="n">
        <v>1</v>
      </c>
      <c r="L6" s="20" t="inlineStr">
        <is>
          <t>高</t>
        </is>
      </c>
      <c r="M6" s="24" t="n">
        <v>8000</v>
      </c>
      <c r="N6" s="24" t="n">
        <v>7600</v>
      </c>
      <c r="O6" s="21" t="inlineStr">
        <is>
          <t>已获发起人签字</t>
        </is>
      </c>
    </row>
    <row r="7" ht="21" customHeight="1">
      <c r="A7" s="20" t="inlineStr">
        <is>
          <t>1.1.2</t>
        </is>
      </c>
      <c r="B7" s="25" t="inlineStr">
        <is>
          <t>召开项目启动会 ◆</t>
        </is>
      </c>
      <c r="C7" s="20" t="n">
        <v>3</v>
      </c>
      <c r="D7" s="21" t="inlineStr">
        <is>
          <t>启动会纪要</t>
        </is>
      </c>
      <c r="E7" s="20" t="inlineStr">
        <is>
          <t>王强</t>
        </is>
      </c>
      <c r="F7" s="22" t="n">
        <v>46254</v>
      </c>
      <c r="G7" s="22" t="n">
        <v>46254</v>
      </c>
      <c r="H7" s="20">
        <f>IF(OR(F7="",G7=""),"",G7-F7+1)</f>
        <v/>
      </c>
      <c r="I7" s="20" t="inlineStr">
        <is>
          <t>1.1.1</t>
        </is>
      </c>
      <c r="J7" s="20" t="inlineStr">
        <is>
          <t>已完成</t>
        </is>
      </c>
      <c r="K7" s="23" t="n">
        <v>1</v>
      </c>
      <c r="L7" s="20" t="inlineStr">
        <is>
          <t>高</t>
        </is>
      </c>
      <c r="M7" s="24" t="n">
        <v>2000</v>
      </c>
      <c r="N7" s="24" t="n">
        <v>1800</v>
      </c>
      <c r="O7" s="21" t="inlineStr">
        <is>
          <t>里程碑，全体干系人参加</t>
        </is>
      </c>
    </row>
    <row r="8" ht="21" customHeight="1">
      <c r="A8" s="18" t="inlineStr">
        <is>
          <t>1.2</t>
        </is>
      </c>
      <c r="B8" s="19" t="inlineStr">
        <is>
          <t>项目规划</t>
        </is>
      </c>
      <c r="C8" s="20" t="n">
        <v>2</v>
      </c>
      <c r="D8" s="21" t="inlineStr">
        <is>
          <t>项目管理计划、基准文件</t>
        </is>
      </c>
      <c r="E8" s="20" t="inlineStr">
        <is>
          <t>王强</t>
        </is>
      </c>
      <c r="F8" s="22" t="n">
        <v>46255</v>
      </c>
      <c r="G8" s="22" t="n">
        <v>46262</v>
      </c>
      <c r="H8" s="20">
        <f>IF(OR(F8="",G8=""),"",G8-F8+1)</f>
        <v/>
      </c>
      <c r="I8" s="20" t="n"/>
      <c r="J8" s="20" t="inlineStr">
        <is>
          <t>已完成</t>
        </is>
      </c>
      <c r="K8" s="23" t="n">
        <v>1</v>
      </c>
      <c r="L8" s="20" t="inlineStr">
        <is>
          <t>高</t>
        </is>
      </c>
      <c r="M8" s="24" t="n"/>
      <c r="N8" s="24" t="n"/>
      <c r="O8" s="21" t="n"/>
    </row>
    <row r="9" ht="21" customHeight="1">
      <c r="A9" s="20" t="inlineStr">
        <is>
          <t>1.2.1</t>
        </is>
      </c>
      <c r="B9" s="25" t="inlineStr">
        <is>
          <t>编制项目管理计划</t>
        </is>
      </c>
      <c r="C9" s="20" t="n">
        <v>3</v>
      </c>
      <c r="D9" s="21" t="inlineStr">
        <is>
          <t>项目管理计划</t>
        </is>
      </c>
      <c r="E9" s="20" t="inlineStr">
        <is>
          <t>王强</t>
        </is>
      </c>
      <c r="F9" s="22" t="n">
        <v>46255</v>
      </c>
      <c r="G9" s="22" t="n">
        <v>46260</v>
      </c>
      <c r="H9" s="20">
        <f>IF(OR(F9="",G9=""),"",G9-F9+1)</f>
        <v/>
      </c>
      <c r="I9" s="20" t="inlineStr">
        <is>
          <t>1.1.2</t>
        </is>
      </c>
      <c r="J9" s="20" t="inlineStr">
        <is>
          <t>已完成</t>
        </is>
      </c>
      <c r="K9" s="23" t="n">
        <v>1</v>
      </c>
      <c r="L9" s="20" t="inlineStr">
        <is>
          <t>高</t>
        </is>
      </c>
      <c r="M9" s="24" t="n">
        <v>12000</v>
      </c>
      <c r="N9" s="24" t="n">
        <v>12500</v>
      </c>
      <c r="O9" s="21" t="n"/>
    </row>
    <row r="10" ht="21" customHeight="1">
      <c r="A10" s="20" t="inlineStr">
        <is>
          <t>1.2.2</t>
        </is>
      </c>
      <c r="B10" s="25" t="inlineStr">
        <is>
          <t>制定进度与成本基准</t>
        </is>
      </c>
      <c r="C10" s="20" t="n">
        <v>3</v>
      </c>
      <c r="D10" s="21" t="inlineStr">
        <is>
          <t>进度基准、成本基准</t>
        </is>
      </c>
      <c r="E10" s="20" t="inlineStr">
        <is>
          <t>王强</t>
        </is>
      </c>
      <c r="F10" s="22" t="n">
        <v>46261</v>
      </c>
      <c r="G10" s="22" t="n">
        <v>46262</v>
      </c>
      <c r="H10" s="20">
        <f>IF(OR(F10="",G10=""),"",G10-F10+1)</f>
        <v/>
      </c>
      <c r="I10" s="20" t="inlineStr">
        <is>
          <t>1.2.1</t>
        </is>
      </c>
      <c r="J10" s="20" t="inlineStr">
        <is>
          <t>已完成</t>
        </is>
      </c>
      <c r="K10" s="23" t="n">
        <v>1</v>
      </c>
      <c r="L10" s="20" t="inlineStr">
        <is>
          <t>高</t>
        </is>
      </c>
      <c r="M10" s="24" t="n">
        <v>6000</v>
      </c>
      <c r="N10" s="24" t="n">
        <v>5800</v>
      </c>
      <c r="O10" s="21" t="inlineStr">
        <is>
          <t>含本WBS基准</t>
        </is>
      </c>
    </row>
    <row r="11" ht="21" customHeight="1">
      <c r="A11" s="18" t="inlineStr">
        <is>
          <t>1.3</t>
        </is>
      </c>
      <c r="B11" s="19" t="inlineStr">
        <is>
          <t>项目执行监控</t>
        </is>
      </c>
      <c r="C11" s="20" t="n">
        <v>2</v>
      </c>
      <c r="D11" s="21" t="inlineStr">
        <is>
          <t>项目周报、风险登记册</t>
        </is>
      </c>
      <c r="E11" s="20" t="inlineStr">
        <is>
          <t>王强</t>
        </is>
      </c>
      <c r="F11" s="22" t="n">
        <v>46274</v>
      </c>
      <c r="G11" s="22" t="n">
        <v>46374</v>
      </c>
      <c r="H11" s="20">
        <f>IF(OR(F11="",G11=""),"",G11-F11+1)</f>
        <v/>
      </c>
      <c r="I11" s="20" t="n"/>
      <c r="J11" s="20" t="inlineStr">
        <is>
          <t>未开始</t>
        </is>
      </c>
      <c r="K11" s="23" t="n">
        <v>0</v>
      </c>
      <c r="L11" s="20" t="inlineStr">
        <is>
          <t>中</t>
        </is>
      </c>
      <c r="M11" s="24" t="n"/>
      <c r="N11" s="24" t="n"/>
      <c r="O11" s="21" t="n"/>
    </row>
    <row r="12" ht="21" customHeight="1">
      <c r="A12" s="20" t="inlineStr">
        <is>
          <t>1.3.1</t>
        </is>
      </c>
      <c r="B12" s="25" t="inlineStr">
        <is>
          <t>周例会与进度跟踪</t>
        </is>
      </c>
      <c r="C12" s="20" t="n">
        <v>3</v>
      </c>
      <c r="D12" s="21" t="inlineStr">
        <is>
          <t>项目周报</t>
        </is>
      </c>
      <c r="E12" s="20" t="inlineStr">
        <is>
          <t>王强</t>
        </is>
      </c>
      <c r="F12" s="22" t="n">
        <v>46274</v>
      </c>
      <c r="G12" s="22" t="n">
        <v>46374</v>
      </c>
      <c r="H12" s="20">
        <f>IF(OR(F12="",G12=""),"",G12-F12+1)</f>
        <v/>
      </c>
      <c r="I12" s="20" t="inlineStr">
        <is>
          <t>1.2.2</t>
        </is>
      </c>
      <c r="J12" s="20" t="inlineStr">
        <is>
          <t>未开始</t>
        </is>
      </c>
      <c r="K12" s="23" t="n">
        <v>0</v>
      </c>
      <c r="L12" s="20" t="inlineStr">
        <is>
          <t>中</t>
        </is>
      </c>
      <c r="M12" s="24" t="n">
        <v>15000</v>
      </c>
      <c r="N12" s="24" t="n"/>
      <c r="O12" s="21" t="inlineStr">
        <is>
          <t>每周一上午</t>
        </is>
      </c>
    </row>
    <row r="13" ht="21" customHeight="1">
      <c r="A13" s="20" t="inlineStr">
        <is>
          <t>1.3.2</t>
        </is>
      </c>
      <c r="B13" s="25" t="inlineStr">
        <is>
          <t>风险与变更管理</t>
        </is>
      </c>
      <c r="C13" s="20" t="n">
        <v>3</v>
      </c>
      <c r="D13" s="21" t="inlineStr">
        <is>
          <t>风险登记册、变更日志</t>
        </is>
      </c>
      <c r="E13" s="20" t="inlineStr">
        <is>
          <t>王强</t>
        </is>
      </c>
      <c r="F13" s="22" t="n">
        <v>46274</v>
      </c>
      <c r="G13" s="22" t="n">
        <v>46374</v>
      </c>
      <c r="H13" s="20">
        <f>IF(OR(F13="",G13=""),"",G13-F13+1)</f>
        <v/>
      </c>
      <c r="I13" s="20" t="n"/>
      <c r="J13" s="20" t="inlineStr">
        <is>
          <t>未开始</t>
        </is>
      </c>
      <c r="K13" s="23" t="n">
        <v>0</v>
      </c>
      <c r="L13" s="20" t="inlineStr">
        <is>
          <t>中</t>
        </is>
      </c>
      <c r="M13" s="24" t="n">
        <v>8000</v>
      </c>
      <c r="N13" s="24" t="n"/>
      <c r="O13" s="21" t="n"/>
    </row>
    <row r="14" ht="21" customHeight="1">
      <c r="A14" s="18" t="inlineStr">
        <is>
          <t>1.4</t>
        </is>
      </c>
      <c r="B14" s="19" t="inlineStr">
        <is>
          <t>项目收尾</t>
        </is>
      </c>
      <c r="C14" s="20" t="n">
        <v>2</v>
      </c>
      <c r="D14" s="21" t="inlineStr">
        <is>
          <t>验收报告、总结报告</t>
        </is>
      </c>
      <c r="E14" s="20" t="inlineStr">
        <is>
          <t>王强</t>
        </is>
      </c>
      <c r="F14" s="22" t="n">
        <v>46377</v>
      </c>
      <c r="G14" s="22" t="n">
        <v>46381</v>
      </c>
      <c r="H14" s="20">
        <f>IF(OR(F14="",G14=""),"",G14-F14+1)</f>
        <v/>
      </c>
      <c r="I14" s="20" t="n"/>
      <c r="J14" s="20" t="inlineStr">
        <is>
          <t>未开始</t>
        </is>
      </c>
      <c r="K14" s="23" t="n">
        <v>0</v>
      </c>
      <c r="L14" s="20" t="inlineStr">
        <is>
          <t>中</t>
        </is>
      </c>
      <c r="M14" s="24" t="n"/>
      <c r="N14" s="24" t="n"/>
      <c r="O14" s="21" t="n"/>
    </row>
    <row r="15" ht="21" customHeight="1">
      <c r="A15" s="20" t="inlineStr">
        <is>
          <t>1.4.1</t>
        </is>
      </c>
      <c r="B15" s="25" t="inlineStr">
        <is>
          <t>组织项目验收</t>
        </is>
      </c>
      <c r="C15" s="20" t="n">
        <v>3</v>
      </c>
      <c r="D15" s="21" t="inlineStr">
        <is>
          <t>验收报告（签字版）</t>
        </is>
      </c>
      <c r="E15" s="20" t="inlineStr">
        <is>
          <t>王强</t>
        </is>
      </c>
      <c r="F15" s="22" t="n">
        <v>46377</v>
      </c>
      <c r="G15" s="22" t="n">
        <v>46379</v>
      </c>
      <c r="H15" s="20">
        <f>IF(OR(F15="",G15=""),"",G15-F15+1)</f>
        <v/>
      </c>
      <c r="I15" s="20" t="inlineStr">
        <is>
          <t>6.2.2</t>
        </is>
      </c>
      <c r="J15" s="20" t="inlineStr">
        <is>
          <t>未开始</t>
        </is>
      </c>
      <c r="K15" s="23" t="n">
        <v>0</v>
      </c>
      <c r="L15" s="20" t="inlineStr">
        <is>
          <t>高</t>
        </is>
      </c>
      <c r="M15" s="24" t="n">
        <v>5000</v>
      </c>
      <c r="N15" s="24" t="n"/>
      <c r="O15" s="21" t="n"/>
    </row>
    <row r="16" ht="21" customHeight="1">
      <c r="A16" s="20" t="inlineStr">
        <is>
          <t>1.4.2</t>
        </is>
      </c>
      <c r="B16" s="25" t="inlineStr">
        <is>
          <t>经验教训总结</t>
        </is>
      </c>
      <c r="C16" s="20" t="n">
        <v>3</v>
      </c>
      <c r="D16" s="21" t="inlineStr">
        <is>
          <t>项目总结报告</t>
        </is>
      </c>
      <c r="E16" s="20" t="inlineStr">
        <is>
          <t>王强</t>
        </is>
      </c>
      <c r="F16" s="22" t="n">
        <v>46380</v>
      </c>
      <c r="G16" s="22" t="n">
        <v>46381</v>
      </c>
      <c r="H16" s="20">
        <f>IF(OR(F16="",G16=""),"",G16-F16+1)</f>
        <v/>
      </c>
      <c r="I16" s="20" t="inlineStr">
        <is>
          <t>1.4.1</t>
        </is>
      </c>
      <c r="J16" s="20" t="inlineStr">
        <is>
          <t>未开始</t>
        </is>
      </c>
      <c r="K16" s="23" t="n">
        <v>0</v>
      </c>
      <c r="L16" s="20" t="inlineStr">
        <is>
          <t>低</t>
        </is>
      </c>
      <c r="M16" s="24" t="n">
        <v>3000</v>
      </c>
      <c r="N16" s="24" t="n"/>
      <c r="O16" s="21" t="n"/>
    </row>
    <row r="17" ht="21" customHeight="1">
      <c r="A17" s="11" t="inlineStr">
        <is>
          <t>2</t>
        </is>
      </c>
      <c r="B17" s="12" t="inlineStr">
        <is>
          <t>需求分析</t>
        </is>
      </c>
      <c r="C17" s="13" t="n">
        <v>1</v>
      </c>
      <c r="D17" s="14" t="inlineStr">
        <is>
          <t>需求规格说明书</t>
        </is>
      </c>
      <c r="E17" s="13" t="inlineStr">
        <is>
          <t>李娜</t>
        </is>
      </c>
      <c r="F17" s="15" t="n">
        <v>46255</v>
      </c>
      <c r="G17" s="15" t="n">
        <v>46273</v>
      </c>
      <c r="H17" s="13">
        <f>IF(OR(F17="",G17=""),"",G17-F17+1)</f>
        <v/>
      </c>
      <c r="I17" s="13" t="n"/>
      <c r="J17" s="13" t="inlineStr">
        <is>
          <t>进行中</t>
        </is>
      </c>
      <c r="K17" s="16" t="n">
        <v>0.5</v>
      </c>
      <c r="L17" s="13" t="inlineStr">
        <is>
          <t>高</t>
        </is>
      </c>
      <c r="M17" s="17" t="n"/>
      <c r="N17" s="17" t="n"/>
      <c r="O17" s="14" t="n"/>
    </row>
    <row r="18" ht="21" customHeight="1">
      <c r="A18" s="18" t="inlineStr">
        <is>
          <t>2.1</t>
        </is>
      </c>
      <c r="B18" s="19" t="inlineStr">
        <is>
          <t>需求调研</t>
        </is>
      </c>
      <c r="C18" s="20" t="n">
        <v>2</v>
      </c>
      <c r="D18" s="21" t="inlineStr">
        <is>
          <t>访谈纪要、业务流程图</t>
        </is>
      </c>
      <c r="E18" s="20" t="inlineStr">
        <is>
          <t>李娜</t>
        </is>
      </c>
      <c r="F18" s="22" t="n">
        <v>46255</v>
      </c>
      <c r="G18" s="22" t="n">
        <v>46265</v>
      </c>
      <c r="H18" s="20">
        <f>IF(OR(F18="",G18=""),"",G18-F18+1)</f>
        <v/>
      </c>
      <c r="I18" s="20" t="n"/>
      <c r="J18" s="20" t="inlineStr">
        <is>
          <t>进行中</t>
        </is>
      </c>
      <c r="K18" s="23" t="n">
        <v>0.85</v>
      </c>
      <c r="L18" s="20" t="inlineStr">
        <is>
          <t>高</t>
        </is>
      </c>
      <c r="M18" s="24" t="n"/>
      <c r="N18" s="24" t="n"/>
      <c r="O18" s="21" t="n"/>
    </row>
    <row r="19" ht="21" customHeight="1">
      <c r="A19" s="20" t="inlineStr">
        <is>
          <t>2.1.1</t>
        </is>
      </c>
      <c r="B19" s="25" t="inlineStr">
        <is>
          <t>关键用户访谈</t>
        </is>
      </c>
      <c r="C19" s="20" t="n">
        <v>3</v>
      </c>
      <c r="D19" s="21" t="inlineStr">
        <is>
          <t>访谈纪要</t>
        </is>
      </c>
      <c r="E19" s="20" t="inlineStr">
        <is>
          <t>李娜</t>
        </is>
      </c>
      <c r="F19" s="22" t="n">
        <v>46255</v>
      </c>
      <c r="G19" s="22" t="n">
        <v>46259</v>
      </c>
      <c r="H19" s="20">
        <f>IF(OR(F19="",G19=""),"",G19-F19+1)</f>
        <v/>
      </c>
      <c r="I19" s="20" t="inlineStr">
        <is>
          <t>1.1.2</t>
        </is>
      </c>
      <c r="J19" s="20" t="inlineStr">
        <is>
          <t>已完成</t>
        </is>
      </c>
      <c r="K19" s="23" t="n">
        <v>1</v>
      </c>
      <c r="L19" s="20" t="inlineStr">
        <is>
          <t>高</t>
        </is>
      </c>
      <c r="M19" s="24" t="n">
        <v>6000</v>
      </c>
      <c r="N19" s="24" t="n">
        <v>5800</v>
      </c>
      <c r="O19" s="21" t="n"/>
    </row>
    <row r="20" ht="21" customHeight="1">
      <c r="A20" s="20" t="inlineStr">
        <is>
          <t>2.1.2</t>
        </is>
      </c>
      <c r="B20" s="25" t="inlineStr">
        <is>
          <t>业务流程梳理</t>
        </is>
      </c>
      <c r="C20" s="20" t="n">
        <v>3</v>
      </c>
      <c r="D20" s="21" t="inlineStr">
        <is>
          <t>业务流程图</t>
        </is>
      </c>
      <c r="E20" s="20" t="inlineStr">
        <is>
          <t>李娜</t>
        </is>
      </c>
      <c r="F20" s="22" t="n">
        <v>46260</v>
      </c>
      <c r="G20" s="22" t="n">
        <v>46265</v>
      </c>
      <c r="H20" s="20">
        <f>IF(OR(F20="",G20=""),"",G20-F20+1)</f>
        <v/>
      </c>
      <c r="I20" s="20" t="inlineStr">
        <is>
          <t>2.1.1</t>
        </is>
      </c>
      <c r="J20" s="20" t="inlineStr">
        <is>
          <t>进行中</t>
        </is>
      </c>
      <c r="K20" s="23" t="n">
        <v>0.7</v>
      </c>
      <c r="L20" s="20" t="inlineStr">
        <is>
          <t>高</t>
        </is>
      </c>
      <c r="M20" s="24" t="n">
        <v>8000</v>
      </c>
      <c r="N20" s="24" t="n">
        <v>5500</v>
      </c>
      <c r="O20" s="21" t="inlineStr">
        <is>
          <t>已超期：演示自动标红提醒</t>
        </is>
      </c>
    </row>
    <row r="21" ht="21" customHeight="1">
      <c r="A21" s="18" t="inlineStr">
        <is>
          <t>2.2</t>
        </is>
      </c>
      <c r="B21" s="19" t="inlineStr">
        <is>
          <t>需求定义</t>
        </is>
      </c>
      <c r="C21" s="20" t="n">
        <v>2</v>
      </c>
      <c r="D21" s="21" t="inlineStr">
        <is>
          <t>需求规格说明书</t>
        </is>
      </c>
      <c r="E21" s="20" t="inlineStr">
        <is>
          <t>李娜</t>
        </is>
      </c>
      <c r="F21" s="22" t="n">
        <v>46266</v>
      </c>
      <c r="G21" s="22" t="n">
        <v>46273</v>
      </c>
      <c r="H21" s="20">
        <f>IF(OR(F21="",G21=""),"",G21-F21+1)</f>
        <v/>
      </c>
      <c r="I21" s="20" t="n"/>
      <c r="J21" s="20" t="inlineStr">
        <is>
          <t>进行中</t>
        </is>
      </c>
      <c r="K21" s="23" t="n">
        <v>0.05</v>
      </c>
      <c r="L21" s="20" t="inlineStr">
        <is>
          <t>高</t>
        </is>
      </c>
      <c r="M21" s="24" t="n"/>
      <c r="N21" s="24" t="n"/>
      <c r="O21" s="21" t="n"/>
    </row>
    <row r="22" ht="36" customHeight="1">
      <c r="A22" s="20" t="inlineStr">
        <is>
          <t>2.2.1</t>
        </is>
      </c>
      <c r="B22" s="25" t="inlineStr">
        <is>
          <t>编写需求规格说明书</t>
        </is>
      </c>
      <c r="C22" s="20" t="n">
        <v>3</v>
      </c>
      <c r="D22" s="21" t="inlineStr">
        <is>
          <t>需求规格说明书（V1.0）</t>
        </is>
      </c>
      <c r="E22" s="20" t="inlineStr">
        <is>
          <t>李娜</t>
        </is>
      </c>
      <c r="F22" s="22" t="n">
        <v>46266</v>
      </c>
      <c r="G22" s="22" t="n">
        <v>46269</v>
      </c>
      <c r="H22" s="20">
        <f>IF(OR(F22="",G22=""),"",G22-F22+1)</f>
        <v/>
      </c>
      <c r="I22" s="20" t="inlineStr">
        <is>
          <t>2.1.2</t>
        </is>
      </c>
      <c r="J22" s="20" t="inlineStr">
        <is>
          <t>进行中</t>
        </is>
      </c>
      <c r="K22" s="23" t="n">
        <v>0.1</v>
      </c>
      <c r="L22" s="20" t="inlineStr">
        <is>
          <t>高</t>
        </is>
      </c>
      <c r="M22" s="24" t="n">
        <v>10000</v>
      </c>
      <c r="N22" s="24" t="n">
        <v>2000</v>
      </c>
      <c r="O22" s="21" t="n"/>
    </row>
    <row r="23" ht="21" customHeight="1">
      <c r="A23" s="20" t="inlineStr">
        <is>
          <t>2.2.2</t>
        </is>
      </c>
      <c r="B23" s="25" t="inlineStr">
        <is>
          <t>需求评审与基线确认</t>
        </is>
      </c>
      <c r="C23" s="20" t="n">
        <v>3</v>
      </c>
      <c r="D23" s="21" t="inlineStr">
        <is>
          <t>评审记录、基线确认单</t>
        </is>
      </c>
      <c r="E23" s="20" t="inlineStr">
        <is>
          <t>李娜</t>
        </is>
      </c>
      <c r="F23" s="22" t="n">
        <v>46272</v>
      </c>
      <c r="G23" s="22" t="n">
        <v>46273</v>
      </c>
      <c r="H23" s="20">
        <f>IF(OR(F23="",G23=""),"",G23-F23+1)</f>
        <v/>
      </c>
      <c r="I23" s="20" t="inlineStr">
        <is>
          <t>2.2.1</t>
        </is>
      </c>
      <c r="J23" s="20" t="inlineStr">
        <is>
          <t>未开始</t>
        </is>
      </c>
      <c r="K23" s="23" t="n">
        <v>0</v>
      </c>
      <c r="L23" s="20" t="inlineStr">
        <is>
          <t>高</t>
        </is>
      </c>
      <c r="M23" s="24" t="n">
        <v>4000</v>
      </c>
      <c r="N23" s="24" t="n"/>
      <c r="O23" s="21" t="inlineStr">
        <is>
          <t>需客户代表参加</t>
        </is>
      </c>
    </row>
    <row r="24" ht="21" customHeight="1">
      <c r="A24" s="11" t="inlineStr">
        <is>
          <t>3</t>
        </is>
      </c>
      <c r="B24" s="12" t="inlineStr">
        <is>
          <t>系统设计</t>
        </is>
      </c>
      <c r="C24" s="13" t="n">
        <v>1</v>
      </c>
      <c r="D24" s="14" t="inlineStr">
        <is>
          <t>架构/详细设计文档</t>
        </is>
      </c>
      <c r="E24" s="13" t="inlineStr">
        <is>
          <t>张伟</t>
        </is>
      </c>
      <c r="F24" s="15" t="n">
        <v>46274</v>
      </c>
      <c r="G24" s="15" t="n">
        <v>46295</v>
      </c>
      <c r="H24" s="13">
        <f>IF(OR(F24="",G24=""),"",G24-F24+1)</f>
        <v/>
      </c>
      <c r="I24" s="13" t="n"/>
      <c r="J24" s="13" t="inlineStr">
        <is>
          <t>未开始</t>
        </is>
      </c>
      <c r="K24" s="16" t="n">
        <v>0</v>
      </c>
      <c r="L24" s="13" t="inlineStr">
        <is>
          <t>高</t>
        </is>
      </c>
      <c r="M24" s="17" t="n"/>
      <c r="N24" s="17" t="n"/>
      <c r="O24" s="14" t="n"/>
    </row>
    <row r="25" ht="21" customHeight="1">
      <c r="A25" s="18" t="inlineStr">
        <is>
          <t>3.1</t>
        </is>
      </c>
      <c r="B25" s="19" t="inlineStr">
        <is>
          <t>总体架构设计</t>
        </is>
      </c>
      <c r="C25" s="20" t="n">
        <v>2</v>
      </c>
      <c r="D25" s="21" t="inlineStr">
        <is>
          <t>选型报告、架构设计文档</t>
        </is>
      </c>
      <c r="E25" s="20" t="inlineStr">
        <is>
          <t>张伟</t>
        </is>
      </c>
      <c r="F25" s="22" t="n">
        <v>46274</v>
      </c>
      <c r="G25" s="22" t="n">
        <v>46283</v>
      </c>
      <c r="H25" s="20">
        <f>IF(OR(F25="",G25=""),"",G25-F25+1)</f>
        <v/>
      </c>
      <c r="I25" s="20" t="n"/>
      <c r="J25" s="20" t="inlineStr">
        <is>
          <t>未开始</t>
        </is>
      </c>
      <c r="K25" s="23" t="n">
        <v>0</v>
      </c>
      <c r="L25" s="20" t="inlineStr">
        <is>
          <t>高</t>
        </is>
      </c>
      <c r="M25" s="24" t="n"/>
      <c r="N25" s="24" t="n"/>
      <c r="O25" s="21" t="n"/>
    </row>
    <row r="26" ht="21" customHeight="1">
      <c r="A26" s="20" t="inlineStr">
        <is>
          <t>3.1.1</t>
        </is>
      </c>
      <c r="B26" s="25" t="inlineStr">
        <is>
          <t>技术选型与验证</t>
        </is>
      </c>
      <c r="C26" s="20" t="n">
        <v>3</v>
      </c>
      <c r="D26" s="21" t="inlineStr">
        <is>
          <t>选型验证报告</t>
        </is>
      </c>
      <c r="E26" s="20" t="inlineStr">
        <is>
          <t>张伟</t>
        </is>
      </c>
      <c r="F26" s="22" t="n">
        <v>46274</v>
      </c>
      <c r="G26" s="22" t="n">
        <v>46276</v>
      </c>
      <c r="H26" s="20">
        <f>IF(OR(F26="",G26=""),"",G26-F26+1)</f>
        <v/>
      </c>
      <c r="I26" s="20" t="inlineStr">
        <is>
          <t>2.2.2</t>
        </is>
      </c>
      <c r="J26" s="20" t="inlineStr">
        <is>
          <t>未开始</t>
        </is>
      </c>
      <c r="K26" s="23" t="n">
        <v>0</v>
      </c>
      <c r="L26" s="20" t="inlineStr">
        <is>
          <t>高</t>
        </is>
      </c>
      <c r="M26" s="24" t="n">
        <v>8000</v>
      </c>
      <c r="N26" s="24" t="n"/>
      <c r="O26" s="21" t="n"/>
    </row>
    <row r="27" ht="21" customHeight="1">
      <c r="A27" s="20" t="inlineStr">
        <is>
          <t>3.1.2</t>
        </is>
      </c>
      <c r="B27" s="25" t="inlineStr">
        <is>
          <t>系统架构设计</t>
        </is>
      </c>
      <c r="C27" s="20" t="n">
        <v>3</v>
      </c>
      <c r="D27" s="21" t="inlineStr">
        <is>
          <t>架构设计文档</t>
        </is>
      </c>
      <c r="E27" s="20" t="inlineStr">
        <is>
          <t>张伟</t>
        </is>
      </c>
      <c r="F27" s="22" t="n">
        <v>46279</v>
      </c>
      <c r="G27" s="22" t="n">
        <v>46283</v>
      </c>
      <c r="H27" s="20">
        <f>IF(OR(F27="",G27=""),"",G27-F27+1)</f>
        <v/>
      </c>
      <c r="I27" s="20" t="inlineStr">
        <is>
          <t>3.1.1</t>
        </is>
      </c>
      <c r="J27" s="20" t="inlineStr">
        <is>
          <t>未开始</t>
        </is>
      </c>
      <c r="K27" s="23" t="n">
        <v>0</v>
      </c>
      <c r="L27" s="20" t="inlineStr">
        <is>
          <t>高</t>
        </is>
      </c>
      <c r="M27" s="24" t="n">
        <v>15000</v>
      </c>
      <c r="N27" s="24" t="n"/>
      <c r="O27" s="21" t="n"/>
    </row>
    <row r="28" ht="36" customHeight="1">
      <c r="A28" s="18" t="inlineStr">
        <is>
          <t>3.2</t>
        </is>
      </c>
      <c r="B28" s="19" t="inlineStr">
        <is>
          <t>详细设计</t>
        </is>
      </c>
      <c r="C28" s="20" t="n">
        <v>2</v>
      </c>
      <c r="D28" s="21" t="inlineStr">
        <is>
          <t>数据模型、接口规范、设计稿</t>
        </is>
      </c>
      <c r="E28" s="20" t="inlineStr">
        <is>
          <t>张伟</t>
        </is>
      </c>
      <c r="F28" s="22" t="n">
        <v>46286</v>
      </c>
      <c r="G28" s="22" t="n">
        <v>46295</v>
      </c>
      <c r="H28" s="20">
        <f>IF(OR(F28="",G28=""),"",G28-F28+1)</f>
        <v/>
      </c>
      <c r="I28" s="20" t="n"/>
      <c r="J28" s="20" t="inlineStr">
        <is>
          <t>未开始</t>
        </is>
      </c>
      <c r="K28" s="23" t="n">
        <v>0</v>
      </c>
      <c r="L28" s="20" t="inlineStr">
        <is>
          <t>中</t>
        </is>
      </c>
      <c r="M28" s="24" t="n"/>
      <c r="N28" s="24" t="n"/>
      <c r="O28" s="21" t="n"/>
    </row>
    <row r="29" ht="21" customHeight="1">
      <c r="A29" s="20" t="inlineStr">
        <is>
          <t>3.2.1</t>
        </is>
      </c>
      <c r="B29" s="25" t="inlineStr">
        <is>
          <t>数据库设计</t>
        </is>
      </c>
      <c r="C29" s="20" t="n">
        <v>3</v>
      </c>
      <c r="D29" s="21" t="inlineStr">
        <is>
          <t>ER图、数据字典</t>
        </is>
      </c>
      <c r="E29" s="20" t="inlineStr">
        <is>
          <t>张伟</t>
        </is>
      </c>
      <c r="F29" s="22" t="n">
        <v>46286</v>
      </c>
      <c r="G29" s="22" t="n">
        <v>46288</v>
      </c>
      <c r="H29" s="20">
        <f>IF(OR(F29="",G29=""),"",G29-F29+1)</f>
        <v/>
      </c>
      <c r="I29" s="20" t="inlineStr">
        <is>
          <t>3.1.2</t>
        </is>
      </c>
      <c r="J29" s="20" t="inlineStr">
        <is>
          <t>未开始</t>
        </is>
      </c>
      <c r="K29" s="23" t="n">
        <v>0</v>
      </c>
      <c r="L29" s="20" t="inlineStr">
        <is>
          <t>中</t>
        </is>
      </c>
      <c r="M29" s="24" t="n">
        <v>10000</v>
      </c>
      <c r="N29" s="24" t="n"/>
      <c r="O29" s="21" t="n"/>
    </row>
    <row r="30" ht="21" customHeight="1">
      <c r="A30" s="20" t="inlineStr">
        <is>
          <t>3.2.2</t>
        </is>
      </c>
      <c r="B30" s="25" t="inlineStr">
        <is>
          <t>接口设计</t>
        </is>
      </c>
      <c r="C30" s="20" t="n">
        <v>3</v>
      </c>
      <c r="D30" s="21" t="inlineStr">
        <is>
          <t>接口规范文档</t>
        </is>
      </c>
      <c r="E30" s="20" t="inlineStr">
        <is>
          <t>陈杰</t>
        </is>
      </c>
      <c r="F30" s="22" t="n">
        <v>46289</v>
      </c>
      <c r="G30" s="22" t="n">
        <v>46293</v>
      </c>
      <c r="H30" s="20">
        <f>IF(OR(F30="",G30=""),"",G30-F30+1)</f>
        <v/>
      </c>
      <c r="I30" s="20" t="inlineStr">
        <is>
          <t>3.2.1</t>
        </is>
      </c>
      <c r="J30" s="20" t="inlineStr">
        <is>
          <t>未开始</t>
        </is>
      </c>
      <c r="K30" s="23" t="n">
        <v>0</v>
      </c>
      <c r="L30" s="20" t="inlineStr">
        <is>
          <t>中</t>
        </is>
      </c>
      <c r="M30" s="24" t="n">
        <v>8000</v>
      </c>
      <c r="N30" s="24" t="n"/>
      <c r="O30" s="21" t="n"/>
    </row>
    <row r="31" ht="21" customHeight="1">
      <c r="A31" s="20" t="inlineStr">
        <is>
          <t>3.2.3</t>
        </is>
      </c>
      <c r="B31" s="25" t="inlineStr">
        <is>
          <t>UI/UX设计</t>
        </is>
      </c>
      <c r="C31" s="20" t="n">
        <v>3</v>
      </c>
      <c r="D31" s="21" t="inlineStr">
        <is>
          <t>交互原型、视觉设计稿</t>
        </is>
      </c>
      <c r="E31" s="20" t="inlineStr">
        <is>
          <t>赵敏</t>
        </is>
      </c>
      <c r="F31" s="22" t="n">
        <v>46286</v>
      </c>
      <c r="G31" s="22" t="n">
        <v>46295</v>
      </c>
      <c r="H31" s="20">
        <f>IF(OR(F31="",G31=""),"",G31-F31+1)</f>
        <v/>
      </c>
      <c r="I31" s="20" t="inlineStr">
        <is>
          <t>3.1.2</t>
        </is>
      </c>
      <c r="J31" s="20" t="inlineStr">
        <is>
          <t>未开始</t>
        </is>
      </c>
      <c r="K31" s="23" t="n">
        <v>0</v>
      </c>
      <c r="L31" s="20" t="inlineStr">
        <is>
          <t>中</t>
        </is>
      </c>
      <c r="M31" s="24" t="n">
        <v>20000</v>
      </c>
      <c r="N31" s="24" t="n"/>
      <c r="O31" s="21" t="n"/>
    </row>
    <row r="32" ht="21" customHeight="1">
      <c r="A32" s="11" t="inlineStr">
        <is>
          <t>4</t>
        </is>
      </c>
      <c r="B32" s="12" t="inlineStr">
        <is>
          <t>开发实施</t>
        </is>
      </c>
      <c r="C32" s="13" t="n">
        <v>1</v>
      </c>
      <c r="D32" s="14" t="inlineStr">
        <is>
          <t>可运行的系统</t>
        </is>
      </c>
      <c r="E32" s="13" t="inlineStr">
        <is>
          <t>陈杰</t>
        </is>
      </c>
      <c r="F32" s="15" t="n">
        <v>46304</v>
      </c>
      <c r="G32" s="15" t="n">
        <v>46353</v>
      </c>
      <c r="H32" s="13">
        <f>IF(OR(F32="",G32=""),"",G32-F32+1)</f>
        <v/>
      </c>
      <c r="I32" s="13" t="n"/>
      <c r="J32" s="13" t="inlineStr">
        <is>
          <t>未开始</t>
        </is>
      </c>
      <c r="K32" s="16" t="n">
        <v>0</v>
      </c>
      <c r="L32" s="13" t="inlineStr">
        <is>
          <t>高</t>
        </is>
      </c>
      <c r="M32" s="17" t="n"/>
      <c r="N32" s="17" t="n"/>
      <c r="O32" s="14" t="inlineStr">
        <is>
          <t>排期避开国庆假期</t>
        </is>
      </c>
    </row>
    <row r="33" ht="21" customHeight="1">
      <c r="A33" s="18" t="inlineStr">
        <is>
          <t>4.1</t>
        </is>
      </c>
      <c r="B33" s="19" t="inlineStr">
        <is>
          <t>前端开发</t>
        </is>
      </c>
      <c r="C33" s="20" t="n">
        <v>2</v>
      </c>
      <c r="D33" s="21" t="inlineStr">
        <is>
          <t>前端代码</t>
        </is>
      </c>
      <c r="E33" s="20" t="inlineStr">
        <is>
          <t>赵敏</t>
        </is>
      </c>
      <c r="F33" s="22" t="n">
        <v>46304</v>
      </c>
      <c r="G33" s="22" t="n">
        <v>46339</v>
      </c>
      <c r="H33" s="20">
        <f>IF(OR(F33="",G33=""),"",G33-F33+1)</f>
        <v/>
      </c>
      <c r="I33" s="20" t="n"/>
      <c r="J33" s="20" t="inlineStr">
        <is>
          <t>未开始</t>
        </is>
      </c>
      <c r="K33" s="23" t="n">
        <v>0</v>
      </c>
      <c r="L33" s="20" t="inlineStr">
        <is>
          <t>高</t>
        </is>
      </c>
      <c r="M33" s="24" t="n"/>
      <c r="N33" s="24" t="n"/>
      <c r="O33" s="21" t="n"/>
    </row>
    <row r="34" ht="21" customHeight="1">
      <c r="A34" s="20" t="inlineStr">
        <is>
          <t>4.1.1</t>
        </is>
      </c>
      <c r="B34" s="25" t="inlineStr">
        <is>
          <t>前端框架搭建</t>
        </is>
      </c>
      <c r="C34" s="20" t="n">
        <v>3</v>
      </c>
      <c r="D34" s="21" t="inlineStr">
        <is>
          <t>前端脚手架工程</t>
        </is>
      </c>
      <c r="E34" s="20" t="inlineStr">
        <is>
          <t>赵敏</t>
        </is>
      </c>
      <c r="F34" s="22" t="n">
        <v>46304</v>
      </c>
      <c r="G34" s="22" t="n">
        <v>46307</v>
      </c>
      <c r="H34" s="20">
        <f>IF(OR(F34="",G34=""),"",G34-F34+1)</f>
        <v/>
      </c>
      <c r="I34" s="20" t="inlineStr">
        <is>
          <t>3.2.3</t>
        </is>
      </c>
      <c r="J34" s="20" t="inlineStr">
        <is>
          <t>未开始</t>
        </is>
      </c>
      <c r="K34" s="23" t="n">
        <v>0</v>
      </c>
      <c r="L34" s="20" t="inlineStr">
        <is>
          <t>高</t>
        </is>
      </c>
      <c r="M34" s="24" t="n">
        <v>10000</v>
      </c>
      <c r="N34" s="24" t="n"/>
      <c r="O34" s="21" t="n"/>
    </row>
    <row r="35" ht="21" customHeight="1">
      <c r="A35" s="20" t="inlineStr">
        <is>
          <t>4.1.2</t>
        </is>
      </c>
      <c r="B35" s="25" t="inlineStr">
        <is>
          <t>页面与功能开发</t>
        </is>
      </c>
      <c r="C35" s="20" t="n">
        <v>3</v>
      </c>
      <c r="D35" s="21" t="inlineStr">
        <is>
          <t>前端页面代码</t>
        </is>
      </c>
      <c r="E35" s="20" t="inlineStr">
        <is>
          <t>赵敏</t>
        </is>
      </c>
      <c r="F35" s="22" t="n">
        <v>46308</v>
      </c>
      <c r="G35" s="22" t="n">
        <v>46339</v>
      </c>
      <c r="H35" s="20">
        <f>IF(OR(F35="",G35=""),"",G35-F35+1)</f>
        <v/>
      </c>
      <c r="I35" s="20" t="inlineStr">
        <is>
          <t>4.1.1</t>
        </is>
      </c>
      <c r="J35" s="20" t="inlineStr">
        <is>
          <t>未开始</t>
        </is>
      </c>
      <c r="K35" s="23" t="n">
        <v>0</v>
      </c>
      <c r="L35" s="20" t="inlineStr">
        <is>
          <t>高</t>
        </is>
      </c>
      <c r="M35" s="24" t="n">
        <v>40000</v>
      </c>
      <c r="N35" s="24" t="n"/>
      <c r="O35" s="21" t="n"/>
    </row>
    <row r="36" ht="21" customHeight="1">
      <c r="A36" s="18" t="inlineStr">
        <is>
          <t>4.2</t>
        </is>
      </c>
      <c r="B36" s="19" t="inlineStr">
        <is>
          <t>后端开发</t>
        </is>
      </c>
      <c r="C36" s="20" t="n">
        <v>2</v>
      </c>
      <c r="D36" s="21" t="inlineStr">
        <is>
          <t>后端服务</t>
        </is>
      </c>
      <c r="E36" s="20" t="inlineStr">
        <is>
          <t>陈杰</t>
        </is>
      </c>
      <c r="F36" s="22" t="n">
        <v>46304</v>
      </c>
      <c r="G36" s="22" t="n">
        <v>46339</v>
      </c>
      <c r="H36" s="20">
        <f>IF(OR(F36="",G36=""),"",G36-F36+1)</f>
        <v/>
      </c>
      <c r="I36" s="20" t="n"/>
      <c r="J36" s="20" t="inlineStr">
        <is>
          <t>未开始</t>
        </is>
      </c>
      <c r="K36" s="23" t="n">
        <v>0</v>
      </c>
      <c r="L36" s="20" t="inlineStr">
        <is>
          <t>高</t>
        </is>
      </c>
      <c r="M36" s="24" t="n"/>
      <c r="N36" s="24" t="n"/>
      <c r="O36" s="21" t="n"/>
    </row>
    <row r="37" ht="21" customHeight="1">
      <c r="A37" s="20" t="inlineStr">
        <is>
          <t>4.2.1</t>
        </is>
      </c>
      <c r="B37" s="25" t="inlineStr">
        <is>
          <t>后端框架搭建</t>
        </is>
      </c>
      <c r="C37" s="20" t="n">
        <v>3</v>
      </c>
      <c r="D37" s="21" t="inlineStr">
        <is>
          <t>后端脚手架工程</t>
        </is>
      </c>
      <c r="E37" s="20" t="inlineStr">
        <is>
          <t>陈杰</t>
        </is>
      </c>
      <c r="F37" s="22" t="n">
        <v>46304</v>
      </c>
      <c r="G37" s="22" t="n">
        <v>46307</v>
      </c>
      <c r="H37" s="20">
        <f>IF(OR(F37="",G37=""),"",G37-F37+1)</f>
        <v/>
      </c>
      <c r="I37" s="20" t="inlineStr">
        <is>
          <t>3.2.2</t>
        </is>
      </c>
      <c r="J37" s="20" t="inlineStr">
        <is>
          <t>未开始</t>
        </is>
      </c>
      <c r="K37" s="23" t="n">
        <v>0</v>
      </c>
      <c r="L37" s="20" t="inlineStr">
        <is>
          <t>高</t>
        </is>
      </c>
      <c r="M37" s="24" t="n">
        <v>10000</v>
      </c>
      <c r="N37" s="24" t="n"/>
      <c r="O37" s="21" t="n"/>
    </row>
    <row r="38" ht="21" customHeight="1">
      <c r="A38" s="20" t="inlineStr">
        <is>
          <t>4.2.2</t>
        </is>
      </c>
      <c r="B38" s="25" t="inlineStr">
        <is>
          <t>业务逻辑与接口开发</t>
        </is>
      </c>
      <c r="C38" s="20" t="n">
        <v>3</v>
      </c>
      <c r="D38" s="21" t="inlineStr">
        <is>
          <t>后端服务代码</t>
        </is>
      </c>
      <c r="E38" s="20" t="inlineStr">
        <is>
          <t>陈杰</t>
        </is>
      </c>
      <c r="F38" s="22" t="n">
        <v>46308</v>
      </c>
      <c r="G38" s="22" t="n">
        <v>46339</v>
      </c>
      <c r="H38" s="20">
        <f>IF(OR(F38="",G38=""),"",G38-F38+1)</f>
        <v/>
      </c>
      <c r="I38" s="20" t="inlineStr">
        <is>
          <t>4.2.1</t>
        </is>
      </c>
      <c r="J38" s="20" t="inlineStr">
        <is>
          <t>未开始</t>
        </is>
      </c>
      <c r="K38" s="23" t="n">
        <v>0</v>
      </c>
      <c r="L38" s="20" t="inlineStr">
        <is>
          <t>高</t>
        </is>
      </c>
      <c r="M38" s="24" t="n">
        <v>50000</v>
      </c>
      <c r="N38" s="24" t="n"/>
      <c r="O38" s="21" t="n"/>
    </row>
    <row r="39" ht="21" customHeight="1">
      <c r="A39" s="18" t="inlineStr">
        <is>
          <t>4.3</t>
        </is>
      </c>
      <c r="B39" s="19" t="inlineStr">
        <is>
          <t>联调与单元测试</t>
        </is>
      </c>
      <c r="C39" s="20" t="n">
        <v>2</v>
      </c>
      <c r="D39" s="21" t="inlineStr">
        <is>
          <t>联调记录、单测报告</t>
        </is>
      </c>
      <c r="E39" s="20" t="inlineStr">
        <is>
          <t>陈杰</t>
        </is>
      </c>
      <c r="F39" s="22" t="n">
        <v>46342</v>
      </c>
      <c r="G39" s="22" t="n">
        <v>46353</v>
      </c>
      <c r="H39" s="20">
        <f>IF(OR(F39="",G39=""),"",G39-F39+1)</f>
        <v/>
      </c>
      <c r="I39" s="20" t="n"/>
      <c r="J39" s="20" t="inlineStr">
        <is>
          <t>未开始</t>
        </is>
      </c>
      <c r="K39" s="23" t="n">
        <v>0</v>
      </c>
      <c r="L39" s="20" t="inlineStr">
        <is>
          <t>高</t>
        </is>
      </c>
      <c r="M39" s="24" t="n"/>
      <c r="N39" s="24" t="n"/>
      <c r="O39" s="21" t="n"/>
    </row>
    <row r="40" ht="21" customHeight="1">
      <c r="A40" s="20" t="inlineStr">
        <is>
          <t>4.3.1</t>
        </is>
      </c>
      <c r="B40" s="25" t="inlineStr">
        <is>
          <t>前后端联调</t>
        </is>
      </c>
      <c r="C40" s="20" t="n">
        <v>3</v>
      </c>
      <c r="D40" s="21" t="inlineStr">
        <is>
          <t>联调记录</t>
        </is>
      </c>
      <c r="E40" s="20" t="inlineStr">
        <is>
          <t>陈杰</t>
        </is>
      </c>
      <c r="F40" s="22" t="n">
        <v>46342</v>
      </c>
      <c r="G40" s="22" t="n">
        <v>46346</v>
      </c>
      <c r="H40" s="20">
        <f>IF(OR(F40="",G40=""),"",G40-F40+1)</f>
        <v/>
      </c>
      <c r="I40" s="20" t="inlineStr">
        <is>
          <t>4.1.2;4.2.2</t>
        </is>
      </c>
      <c r="J40" s="20" t="inlineStr">
        <is>
          <t>未开始</t>
        </is>
      </c>
      <c r="K40" s="23" t="n">
        <v>0</v>
      </c>
      <c r="L40" s="20" t="inlineStr">
        <is>
          <t>高</t>
        </is>
      </c>
      <c r="M40" s="24" t="n">
        <v>8000</v>
      </c>
      <c r="N40" s="24" t="n"/>
      <c r="O40" s="21" t="n"/>
    </row>
    <row r="41" ht="21" customHeight="1">
      <c r="A41" s="20" t="inlineStr">
        <is>
          <t>4.3.2</t>
        </is>
      </c>
      <c r="B41" s="25" t="inlineStr">
        <is>
          <t>单元测试与缺陷修复</t>
        </is>
      </c>
      <c r="C41" s="20" t="n">
        <v>3</v>
      </c>
      <c r="D41" s="21" t="inlineStr">
        <is>
          <t>单元测试报告</t>
        </is>
      </c>
      <c r="E41" s="20" t="inlineStr">
        <is>
          <t>陈杰</t>
        </is>
      </c>
      <c r="F41" s="22" t="n">
        <v>46349</v>
      </c>
      <c r="G41" s="22" t="n">
        <v>46353</v>
      </c>
      <c r="H41" s="20">
        <f>IF(OR(F41="",G41=""),"",G41-F41+1)</f>
        <v/>
      </c>
      <c r="I41" s="20" t="inlineStr">
        <is>
          <t>4.3.1</t>
        </is>
      </c>
      <c r="J41" s="20" t="inlineStr">
        <is>
          <t>未开始</t>
        </is>
      </c>
      <c r="K41" s="23" t="n">
        <v>0</v>
      </c>
      <c r="L41" s="20" t="inlineStr">
        <is>
          <t>中</t>
        </is>
      </c>
      <c r="M41" s="24" t="n">
        <v>8000</v>
      </c>
      <c r="N41" s="24" t="n"/>
      <c r="O41" s="21" t="n"/>
    </row>
    <row r="42" ht="21" customHeight="1">
      <c r="A42" s="11" t="inlineStr">
        <is>
          <t>5</t>
        </is>
      </c>
      <c r="B42" s="12" t="inlineStr">
        <is>
          <t>系统测试</t>
        </is>
      </c>
      <c r="C42" s="13" t="n">
        <v>1</v>
      </c>
      <c r="D42" s="14" t="inlineStr">
        <is>
          <t>各类测试报告</t>
        </is>
      </c>
      <c r="E42" s="13" t="inlineStr">
        <is>
          <t>刘洋</t>
        </is>
      </c>
      <c r="F42" s="15" t="n">
        <v>46356</v>
      </c>
      <c r="G42" s="15" t="n">
        <v>46367</v>
      </c>
      <c r="H42" s="13">
        <f>IF(OR(F42="",G42=""),"",G42-F42+1)</f>
        <v/>
      </c>
      <c r="I42" s="13" t="n"/>
      <c r="J42" s="13" t="inlineStr">
        <is>
          <t>未开始</t>
        </is>
      </c>
      <c r="K42" s="16" t="n">
        <v>0</v>
      </c>
      <c r="L42" s="13" t="inlineStr">
        <is>
          <t>高</t>
        </is>
      </c>
      <c r="M42" s="17" t="n"/>
      <c r="N42" s="17" t="n"/>
      <c r="O42" s="14" t="n"/>
    </row>
    <row r="43" ht="21" customHeight="1">
      <c r="A43" s="18" t="inlineStr">
        <is>
          <t>5.1</t>
        </is>
      </c>
      <c r="B43" s="19" t="inlineStr">
        <is>
          <t>测试准备</t>
        </is>
      </c>
      <c r="C43" s="20" t="n">
        <v>2</v>
      </c>
      <c r="D43" s="21" t="inlineStr">
        <is>
          <t>测试计划、测试用例</t>
        </is>
      </c>
      <c r="E43" s="20" t="inlineStr">
        <is>
          <t>刘洋</t>
        </is>
      </c>
      <c r="F43" s="22" t="n">
        <v>46356</v>
      </c>
      <c r="G43" s="22" t="n">
        <v>46358</v>
      </c>
      <c r="H43" s="20">
        <f>IF(OR(F43="",G43=""),"",G43-F43+1)</f>
        <v/>
      </c>
      <c r="I43" s="20" t="n"/>
      <c r="J43" s="20" t="inlineStr">
        <is>
          <t>未开始</t>
        </is>
      </c>
      <c r="K43" s="23" t="n">
        <v>0</v>
      </c>
      <c r="L43" s="20" t="inlineStr">
        <is>
          <t>高</t>
        </is>
      </c>
      <c r="M43" s="24" t="n"/>
      <c r="N43" s="24" t="n"/>
      <c r="O43" s="21" t="n"/>
    </row>
    <row r="44" ht="21" customHeight="1">
      <c r="A44" s="20" t="inlineStr">
        <is>
          <t>5.1.1</t>
        </is>
      </c>
      <c r="B44" s="25" t="inlineStr">
        <is>
          <t>编写测试计划与用例</t>
        </is>
      </c>
      <c r="C44" s="20" t="n">
        <v>3</v>
      </c>
      <c r="D44" s="21" t="inlineStr">
        <is>
          <t>测试计划、用例库</t>
        </is>
      </c>
      <c r="E44" s="20" t="inlineStr">
        <is>
          <t>刘洋</t>
        </is>
      </c>
      <c r="F44" s="22" t="n">
        <v>46356</v>
      </c>
      <c r="G44" s="22" t="n">
        <v>46358</v>
      </c>
      <c r="H44" s="20">
        <f>IF(OR(F44="",G44=""),"",G44-F44+1)</f>
        <v/>
      </c>
      <c r="I44" s="20" t="inlineStr">
        <is>
          <t>4.3.2</t>
        </is>
      </c>
      <c r="J44" s="20" t="inlineStr">
        <is>
          <t>未开始</t>
        </is>
      </c>
      <c r="K44" s="23" t="n">
        <v>0</v>
      </c>
      <c r="L44" s="20" t="inlineStr">
        <is>
          <t>高</t>
        </is>
      </c>
      <c r="M44" s="24" t="n">
        <v>6000</v>
      </c>
      <c r="N44" s="24" t="n"/>
      <c r="O44" s="21" t="n"/>
    </row>
    <row r="45" ht="21" customHeight="1">
      <c r="A45" s="18" t="inlineStr">
        <is>
          <t>5.2</t>
        </is>
      </c>
      <c r="B45" s="19" t="inlineStr">
        <is>
          <t>测试执行</t>
        </is>
      </c>
      <c r="C45" s="20" t="n">
        <v>2</v>
      </c>
      <c r="D45" s="21" t="inlineStr">
        <is>
          <t>测试报告</t>
        </is>
      </c>
      <c r="E45" s="20" t="inlineStr">
        <is>
          <t>刘洋</t>
        </is>
      </c>
      <c r="F45" s="22" t="n">
        <v>46359</v>
      </c>
      <c r="G45" s="22" t="n">
        <v>46367</v>
      </c>
      <c r="H45" s="20">
        <f>IF(OR(F45="",G45=""),"",G45-F45+1)</f>
        <v/>
      </c>
      <c r="I45" s="20" t="n"/>
      <c r="J45" s="20" t="inlineStr">
        <is>
          <t>未开始</t>
        </is>
      </c>
      <c r="K45" s="23" t="n">
        <v>0</v>
      </c>
      <c r="L45" s="20" t="inlineStr">
        <is>
          <t>高</t>
        </is>
      </c>
      <c r="M45" s="24" t="n"/>
      <c r="N45" s="24" t="n"/>
      <c r="O45" s="21" t="n"/>
    </row>
    <row r="46" ht="21" customHeight="1">
      <c r="A46" s="20" t="inlineStr">
        <is>
          <t>5.2.1</t>
        </is>
      </c>
      <c r="B46" s="25" t="inlineStr">
        <is>
          <t>功能测试</t>
        </is>
      </c>
      <c r="C46" s="20" t="n">
        <v>3</v>
      </c>
      <c r="D46" s="21" t="inlineStr">
        <is>
          <t>功能测试报告</t>
        </is>
      </c>
      <c r="E46" s="20" t="inlineStr">
        <is>
          <t>刘洋</t>
        </is>
      </c>
      <c r="F46" s="22" t="n">
        <v>46359</v>
      </c>
      <c r="G46" s="22" t="n">
        <v>46364</v>
      </c>
      <c r="H46" s="20">
        <f>IF(OR(F46="",G46=""),"",G46-F46+1)</f>
        <v/>
      </c>
      <c r="I46" s="20" t="inlineStr">
        <is>
          <t>5.1.1</t>
        </is>
      </c>
      <c r="J46" s="20" t="inlineStr">
        <is>
          <t>未开始</t>
        </is>
      </c>
      <c r="K46" s="23" t="n">
        <v>0</v>
      </c>
      <c r="L46" s="20" t="inlineStr">
        <is>
          <t>高</t>
        </is>
      </c>
      <c r="M46" s="24" t="n">
        <v>12000</v>
      </c>
      <c r="N46" s="24" t="n"/>
      <c r="O46" s="21" t="n"/>
    </row>
    <row r="47" ht="21" customHeight="1">
      <c r="A47" s="20" t="inlineStr">
        <is>
          <t>5.2.2</t>
        </is>
      </c>
      <c r="B47" s="25" t="inlineStr">
        <is>
          <t>性能与安全测试</t>
        </is>
      </c>
      <c r="C47" s="20" t="n">
        <v>3</v>
      </c>
      <c r="D47" s="21" t="inlineStr">
        <is>
          <t>性能/安全测试报告</t>
        </is>
      </c>
      <c r="E47" s="20" t="inlineStr">
        <is>
          <t>刘洋</t>
        </is>
      </c>
      <c r="F47" s="22" t="n">
        <v>46365</v>
      </c>
      <c r="G47" s="22" t="n">
        <v>46366</v>
      </c>
      <c r="H47" s="20">
        <f>IF(OR(F47="",G47=""),"",G47-F47+1)</f>
        <v/>
      </c>
      <c r="I47" s="20" t="inlineStr">
        <is>
          <t>5.2.1</t>
        </is>
      </c>
      <c r="J47" s="20" t="inlineStr">
        <is>
          <t>未开始</t>
        </is>
      </c>
      <c r="K47" s="23" t="n">
        <v>0</v>
      </c>
      <c r="L47" s="20" t="inlineStr">
        <is>
          <t>中</t>
        </is>
      </c>
      <c r="M47" s="24" t="n">
        <v>10000</v>
      </c>
      <c r="N47" s="24" t="n"/>
      <c r="O47" s="21" t="n"/>
    </row>
    <row r="48" ht="21" customHeight="1">
      <c r="A48" s="20" t="inlineStr">
        <is>
          <t>5.2.3</t>
        </is>
      </c>
      <c r="B48" s="25" t="inlineStr">
        <is>
          <t>用户验收测试(UAT) ◆</t>
        </is>
      </c>
      <c r="C48" s="20" t="n">
        <v>3</v>
      </c>
      <c r="D48" s="21" t="inlineStr">
        <is>
          <t>UAT报告、问题清单</t>
        </is>
      </c>
      <c r="E48" s="20" t="inlineStr">
        <is>
          <t>李娜</t>
        </is>
      </c>
      <c r="F48" s="22" t="n">
        <v>46367</v>
      </c>
      <c r="G48" s="22" t="n">
        <v>46367</v>
      </c>
      <c r="H48" s="20">
        <f>IF(OR(F48="",G48=""),"",G48-F48+1)</f>
        <v/>
      </c>
      <c r="I48" s="20" t="inlineStr">
        <is>
          <t>5.2.2</t>
        </is>
      </c>
      <c r="J48" s="20" t="inlineStr">
        <is>
          <t>未开始</t>
        </is>
      </c>
      <c r="K48" s="23" t="n">
        <v>0</v>
      </c>
      <c r="L48" s="20" t="inlineStr">
        <is>
          <t>高</t>
        </is>
      </c>
      <c r="M48" s="24" t="n">
        <v>5000</v>
      </c>
      <c r="N48" s="24" t="n"/>
      <c r="O48" s="21" t="inlineStr">
        <is>
          <t>里程碑，1天</t>
        </is>
      </c>
    </row>
    <row r="49" ht="21" customHeight="1">
      <c r="A49" s="11" t="inlineStr">
        <is>
          <t>6</t>
        </is>
      </c>
      <c r="B49" s="12" t="inlineStr">
        <is>
          <t>部署上线</t>
        </is>
      </c>
      <c r="C49" s="13" t="n">
        <v>1</v>
      </c>
      <c r="D49" s="14" t="inlineStr">
        <is>
          <t>上线系统、培训材料</t>
        </is>
      </c>
      <c r="E49" s="13" t="inlineStr">
        <is>
          <t>张伟</t>
        </is>
      </c>
      <c r="F49" s="15" t="n">
        <v>46370</v>
      </c>
      <c r="G49" s="15" t="n">
        <v>46374</v>
      </c>
      <c r="H49" s="13">
        <f>IF(OR(F49="",G49=""),"",G49-F49+1)</f>
        <v/>
      </c>
      <c r="I49" s="13" t="n"/>
      <c r="J49" s="13" t="inlineStr">
        <is>
          <t>未开始</t>
        </is>
      </c>
      <c r="K49" s="16" t="n">
        <v>0</v>
      </c>
      <c r="L49" s="13" t="inlineStr">
        <is>
          <t>高</t>
        </is>
      </c>
      <c r="M49" s="17" t="n"/>
      <c r="N49" s="17" t="n"/>
      <c r="O49" s="14" t="n"/>
    </row>
    <row r="50" ht="21" customHeight="1">
      <c r="A50" s="18" t="inlineStr">
        <is>
          <t>6.1</t>
        </is>
      </c>
      <c r="B50" s="19" t="inlineStr">
        <is>
          <t>上线准备</t>
        </is>
      </c>
      <c r="C50" s="20" t="n">
        <v>2</v>
      </c>
      <c r="D50" s="21" t="inlineStr">
        <is>
          <t>部署手册、环境清单</t>
        </is>
      </c>
      <c r="E50" s="20" t="inlineStr">
        <is>
          <t>张伟</t>
        </is>
      </c>
      <c r="F50" s="22" t="n">
        <v>46370</v>
      </c>
      <c r="G50" s="22" t="n">
        <v>46370</v>
      </c>
      <c r="H50" s="20">
        <f>IF(OR(F50="",G50=""),"",G50-F50+1)</f>
        <v/>
      </c>
      <c r="I50" s="20" t="n"/>
      <c r="J50" s="20" t="inlineStr">
        <is>
          <t>未开始</t>
        </is>
      </c>
      <c r="K50" s="23" t="n">
        <v>0</v>
      </c>
      <c r="L50" s="20" t="inlineStr">
        <is>
          <t>高</t>
        </is>
      </c>
      <c r="M50" s="24" t="n"/>
      <c r="N50" s="24" t="n"/>
      <c r="O50" s="21" t="n"/>
    </row>
    <row r="51" ht="21" customHeight="1">
      <c r="A51" s="20" t="inlineStr">
        <is>
          <t>6.1.1</t>
        </is>
      </c>
      <c r="B51" s="25" t="inlineStr">
        <is>
          <t>生产环境准备</t>
        </is>
      </c>
      <c r="C51" s="20" t="n">
        <v>3</v>
      </c>
      <c r="D51" s="21" t="inlineStr">
        <is>
          <t>部署手册、环境清单</t>
        </is>
      </c>
      <c r="E51" s="20" t="inlineStr">
        <is>
          <t>张伟</t>
        </is>
      </c>
      <c r="F51" s="22" t="n">
        <v>46370</v>
      </c>
      <c r="G51" s="22" t="n">
        <v>46370</v>
      </c>
      <c r="H51" s="20">
        <f>IF(OR(F51="",G51=""),"",G51-F51+1)</f>
        <v/>
      </c>
      <c r="I51" s="20" t="inlineStr">
        <is>
          <t>5.2.3</t>
        </is>
      </c>
      <c r="J51" s="20" t="inlineStr">
        <is>
          <t>未开始</t>
        </is>
      </c>
      <c r="K51" s="23" t="n">
        <v>0</v>
      </c>
      <c r="L51" s="20" t="inlineStr">
        <is>
          <t>高</t>
        </is>
      </c>
      <c r="M51" s="24" t="n">
        <v>8000</v>
      </c>
      <c r="N51" s="24" t="n"/>
      <c r="O51" s="21" t="n"/>
    </row>
    <row r="52" ht="21" customHeight="1">
      <c r="A52" s="18" t="inlineStr">
        <is>
          <t>6.2</t>
        </is>
      </c>
      <c r="B52" s="19" t="inlineStr">
        <is>
          <t>系统上线</t>
        </is>
      </c>
      <c r="C52" s="20" t="n">
        <v>2</v>
      </c>
      <c r="D52" s="21" t="inlineStr">
        <is>
          <t>上线记录、培训材料</t>
        </is>
      </c>
      <c r="E52" s="20" t="inlineStr">
        <is>
          <t>张伟</t>
        </is>
      </c>
      <c r="F52" s="22" t="n">
        <v>46371</v>
      </c>
      <c r="G52" s="22" t="n">
        <v>46374</v>
      </c>
      <c r="H52" s="20">
        <f>IF(OR(F52="",G52=""),"",G52-F52+1)</f>
        <v/>
      </c>
      <c r="I52" s="20" t="n"/>
      <c r="J52" s="20" t="inlineStr">
        <is>
          <t>未开始</t>
        </is>
      </c>
      <c r="K52" s="23" t="n">
        <v>0</v>
      </c>
      <c r="L52" s="20" t="inlineStr">
        <is>
          <t>高</t>
        </is>
      </c>
      <c r="M52" s="24" t="n"/>
      <c r="N52" s="24" t="n"/>
      <c r="O52" s="21" t="n"/>
    </row>
    <row r="53" ht="21" customHeight="1">
      <c r="A53" s="20" t="inlineStr">
        <is>
          <t>6.2.1</t>
        </is>
      </c>
      <c r="B53" s="25" t="inlineStr">
        <is>
          <t>系统部署与数据迁移</t>
        </is>
      </c>
      <c r="C53" s="20" t="n">
        <v>3</v>
      </c>
      <c r="D53" s="21" t="inlineStr">
        <is>
          <t>上线记录、数据核对报告</t>
        </is>
      </c>
      <c r="E53" s="20" t="inlineStr">
        <is>
          <t>张伟</t>
        </is>
      </c>
      <c r="F53" s="22" t="n">
        <v>46371</v>
      </c>
      <c r="G53" s="22" t="n">
        <v>46372</v>
      </c>
      <c r="H53" s="20">
        <f>IF(OR(F53="",G53=""),"",G53-F53+1)</f>
        <v/>
      </c>
      <c r="I53" s="20" t="inlineStr">
        <is>
          <t>6.1.1</t>
        </is>
      </c>
      <c r="J53" s="20" t="inlineStr">
        <is>
          <t>未开始</t>
        </is>
      </c>
      <c r="K53" s="23" t="n">
        <v>0</v>
      </c>
      <c r="L53" s="20" t="inlineStr">
        <is>
          <t>高</t>
        </is>
      </c>
      <c r="M53" s="24" t="n">
        <v>10000</v>
      </c>
      <c r="N53" s="24" t="n"/>
      <c r="O53" s="21" t="n"/>
    </row>
    <row r="54" ht="21" customHeight="1">
      <c r="A54" s="20" t="inlineStr">
        <is>
          <t>6.2.2</t>
        </is>
      </c>
      <c r="B54" s="25" t="inlineStr">
        <is>
          <t>用户培训与上线支持</t>
        </is>
      </c>
      <c r="C54" s="20" t="n">
        <v>3</v>
      </c>
      <c r="D54" s="21" t="inlineStr">
        <is>
          <t>培训材料、支持记录</t>
        </is>
      </c>
      <c r="E54" s="20" t="inlineStr">
        <is>
          <t>赵敏</t>
        </is>
      </c>
      <c r="F54" s="22" t="n">
        <v>46373</v>
      </c>
      <c r="G54" s="22" t="n">
        <v>46374</v>
      </c>
      <c r="H54" s="20">
        <f>IF(OR(F54="",G54=""),"",G54-F54+1)</f>
        <v/>
      </c>
      <c r="I54" s="20" t="inlineStr">
        <is>
          <t>6.2.1</t>
        </is>
      </c>
      <c r="J54" s="20" t="inlineStr">
        <is>
          <t>未开始</t>
        </is>
      </c>
      <c r="K54" s="23" t="n">
        <v>0</v>
      </c>
      <c r="L54" s="20" t="inlineStr">
        <is>
          <t>中</t>
        </is>
      </c>
      <c r="M54" s="24" t="n">
        <v>6000</v>
      </c>
      <c r="N54" s="24" t="n"/>
      <c r="O54" s="21" t="n"/>
    </row>
    <row r="55" ht="21" customHeight="1">
      <c r="A55" s="26" t="n"/>
      <c r="B55" s="26" t="n"/>
      <c r="C55" s="26" t="n"/>
      <c r="D55" s="26" t="n"/>
      <c r="E55" s="26" t="n"/>
      <c r="F55" s="27" t="n"/>
      <c r="G55" s="27" t="n"/>
      <c r="H55" s="26">
        <f>IF(OR(F55="",G55=""),"",G55-F55+1)</f>
        <v/>
      </c>
      <c r="I55" s="26" t="n"/>
      <c r="J55" s="26" t="n"/>
      <c r="K55" s="28" t="n"/>
      <c r="L55" s="26" t="n"/>
      <c r="M55" s="29" t="n"/>
      <c r="N55" s="29" t="n"/>
      <c r="O55" s="26" t="n"/>
    </row>
    <row r="56" ht="21" customHeight="1">
      <c r="A56" s="26" t="n"/>
      <c r="B56" s="26" t="n"/>
      <c r="C56" s="26" t="n"/>
      <c r="D56" s="26" t="n"/>
      <c r="E56" s="26" t="n"/>
      <c r="F56" s="27" t="n"/>
      <c r="G56" s="27" t="n"/>
      <c r="H56" s="26">
        <f>IF(OR(F56="",G56=""),"",G56-F56+1)</f>
        <v/>
      </c>
      <c r="I56" s="26" t="n"/>
      <c r="J56" s="26" t="n"/>
      <c r="K56" s="28" t="n"/>
      <c r="L56" s="26" t="n"/>
      <c r="M56" s="29" t="n"/>
      <c r="N56" s="29" t="n"/>
      <c r="O56" s="26" t="n"/>
    </row>
    <row r="57" ht="21" customHeight="1">
      <c r="A57" s="26" t="n"/>
      <c r="B57" s="26" t="n"/>
      <c r="C57" s="26" t="n"/>
      <c r="D57" s="26" t="n"/>
      <c r="E57" s="26" t="n"/>
      <c r="F57" s="27" t="n"/>
      <c r="G57" s="27" t="n"/>
      <c r="H57" s="26">
        <f>IF(OR(F57="",G57=""),"",G57-F57+1)</f>
        <v/>
      </c>
      <c r="I57" s="26" t="n"/>
      <c r="J57" s="26" t="n"/>
      <c r="K57" s="28" t="n"/>
      <c r="L57" s="26" t="n"/>
      <c r="M57" s="29" t="n"/>
      <c r="N57" s="29" t="n"/>
      <c r="O57" s="26" t="n"/>
    </row>
    <row r="58" ht="21" customHeight="1">
      <c r="A58" s="26" t="n"/>
      <c r="B58" s="26" t="n"/>
      <c r="C58" s="26" t="n"/>
      <c r="D58" s="26" t="n"/>
      <c r="E58" s="26" t="n"/>
      <c r="F58" s="27" t="n"/>
      <c r="G58" s="27" t="n"/>
      <c r="H58" s="26">
        <f>IF(OR(F58="",G58=""),"",G58-F58+1)</f>
        <v/>
      </c>
      <c r="I58" s="26" t="n"/>
      <c r="J58" s="26" t="n"/>
      <c r="K58" s="28" t="n"/>
      <c r="L58" s="26" t="n"/>
      <c r="M58" s="29" t="n"/>
      <c r="N58" s="29" t="n"/>
      <c r="O58" s="26" t="n"/>
    </row>
    <row r="59" ht="21" customHeight="1">
      <c r="A59" s="26" t="n"/>
      <c r="B59" s="26" t="n"/>
      <c r="C59" s="26" t="n"/>
      <c r="D59" s="26" t="n"/>
      <c r="E59" s="26" t="n"/>
      <c r="F59" s="27" t="n"/>
      <c r="G59" s="27" t="n"/>
      <c r="H59" s="26">
        <f>IF(OR(F59="",G59=""),"",G59-F59+1)</f>
        <v/>
      </c>
      <c r="I59" s="26" t="n"/>
      <c r="J59" s="26" t="n"/>
      <c r="K59" s="28" t="n"/>
      <c r="L59" s="26" t="n"/>
      <c r="M59" s="29" t="n"/>
      <c r="N59" s="29" t="n"/>
      <c r="O59" s="26" t="n"/>
    </row>
    <row r="60" ht="21" customHeight="1">
      <c r="A60" s="26" t="n"/>
      <c r="B60" s="26" t="n"/>
      <c r="C60" s="26" t="n"/>
      <c r="D60" s="26" t="n"/>
      <c r="E60" s="26" t="n"/>
      <c r="F60" s="27" t="n"/>
      <c r="G60" s="27" t="n"/>
      <c r="H60" s="26">
        <f>IF(OR(F60="",G60=""),"",G60-F60+1)</f>
        <v/>
      </c>
      <c r="I60" s="26" t="n"/>
      <c r="J60" s="26" t="n"/>
      <c r="K60" s="28" t="n"/>
      <c r="L60" s="26" t="n"/>
      <c r="M60" s="29" t="n"/>
      <c r="N60" s="29" t="n"/>
      <c r="O60" s="26" t="n"/>
    </row>
    <row r="61" ht="21" customHeight="1">
      <c r="A61" s="26" t="n"/>
      <c r="B61" s="26" t="n"/>
      <c r="C61" s="26" t="n"/>
      <c r="D61" s="26" t="n"/>
      <c r="E61" s="26" t="n"/>
      <c r="F61" s="27" t="n"/>
      <c r="G61" s="27" t="n"/>
      <c r="H61" s="26">
        <f>IF(OR(F61="",G61=""),"",G61-F61+1)</f>
        <v/>
      </c>
      <c r="I61" s="26" t="n"/>
      <c r="J61" s="26" t="n"/>
      <c r="K61" s="28" t="n"/>
      <c r="L61" s="26" t="n"/>
      <c r="M61" s="29" t="n"/>
      <c r="N61" s="29" t="n"/>
      <c r="O61" s="26" t="n"/>
    </row>
    <row r="62" ht="21" customHeight="1">
      <c r="A62" s="26" t="n"/>
      <c r="B62" s="26" t="n"/>
      <c r="C62" s="26" t="n"/>
      <c r="D62" s="26" t="n"/>
      <c r="E62" s="26" t="n"/>
      <c r="F62" s="27" t="n"/>
      <c r="G62" s="27" t="n"/>
      <c r="H62" s="26">
        <f>IF(OR(F62="",G62=""),"",G62-F62+1)</f>
        <v/>
      </c>
      <c r="I62" s="26" t="n"/>
      <c r="J62" s="26" t="n"/>
      <c r="K62" s="28" t="n"/>
      <c r="L62" s="26" t="n"/>
      <c r="M62" s="29" t="n"/>
      <c r="N62" s="29" t="n"/>
      <c r="O62" s="26" t="n"/>
    </row>
    <row r="63" ht="21" customHeight="1">
      <c r="A63" s="26" t="n"/>
      <c r="B63" s="26" t="n"/>
      <c r="C63" s="26" t="n"/>
      <c r="D63" s="26" t="n"/>
      <c r="E63" s="26" t="n"/>
      <c r="F63" s="27" t="n"/>
      <c r="G63" s="27" t="n"/>
      <c r="H63" s="26">
        <f>IF(OR(F63="",G63=""),"",G63-F63+1)</f>
        <v/>
      </c>
      <c r="I63" s="26" t="n"/>
      <c r="J63" s="26" t="n"/>
      <c r="K63" s="28" t="n"/>
      <c r="L63" s="26" t="n"/>
      <c r="M63" s="29" t="n"/>
      <c r="N63" s="29" t="n"/>
      <c r="O63" s="26" t="n"/>
    </row>
    <row r="64" ht="21" customHeight="1">
      <c r="A64" s="26" t="n"/>
      <c r="B64" s="26" t="n"/>
      <c r="C64" s="26" t="n"/>
      <c r="D64" s="26" t="n"/>
      <c r="E64" s="26" t="n"/>
      <c r="F64" s="27" t="n"/>
      <c r="G64" s="27" t="n"/>
      <c r="H64" s="26">
        <f>IF(OR(F64="",G64=""),"",G64-F64+1)</f>
        <v/>
      </c>
      <c r="I64" s="26" t="n"/>
      <c r="J64" s="26" t="n"/>
      <c r="K64" s="28" t="n"/>
      <c r="L64" s="26" t="n"/>
      <c r="M64" s="29" t="n"/>
      <c r="N64" s="29" t="n"/>
      <c r="O64" s="26" t="n"/>
    </row>
    <row r="65" ht="21" customHeight="1">
      <c r="A65" s="26" t="n"/>
      <c r="B65" s="26" t="n"/>
      <c r="C65" s="26" t="n"/>
      <c r="D65" s="26" t="n"/>
      <c r="E65" s="26" t="n"/>
      <c r="F65" s="27" t="n"/>
      <c r="G65" s="27" t="n"/>
      <c r="H65" s="26">
        <f>IF(OR(F65="",G65=""),"",G65-F65+1)</f>
        <v/>
      </c>
      <c r="I65" s="26" t="n"/>
      <c r="J65" s="26" t="n"/>
      <c r="K65" s="28" t="n"/>
      <c r="L65" s="26" t="n"/>
      <c r="M65" s="29" t="n"/>
      <c r="N65" s="29" t="n"/>
      <c r="O65" s="26" t="n"/>
    </row>
    <row r="66" ht="21" customHeight="1">
      <c r="A66" s="26" t="n"/>
      <c r="B66" s="26" t="n"/>
      <c r="C66" s="26" t="n"/>
      <c r="D66" s="26" t="n"/>
      <c r="E66" s="26" t="n"/>
      <c r="F66" s="27" t="n"/>
      <c r="G66" s="27" t="n"/>
      <c r="H66" s="26">
        <f>IF(OR(F66="",G66=""),"",G66-F66+1)</f>
        <v/>
      </c>
      <c r="I66" s="26" t="n"/>
      <c r="J66" s="26" t="n"/>
      <c r="K66" s="28" t="n"/>
      <c r="L66" s="26" t="n"/>
      <c r="M66" s="29" t="n"/>
      <c r="N66" s="29" t="n"/>
      <c r="O66" s="26" t="n"/>
    </row>
    <row r="67" ht="21" customHeight="1">
      <c r="A67" s="26" t="n"/>
      <c r="B67" s="26" t="n"/>
      <c r="C67" s="26" t="n"/>
      <c r="D67" s="26" t="n"/>
      <c r="E67" s="26" t="n"/>
      <c r="F67" s="27" t="n"/>
      <c r="G67" s="27" t="n"/>
      <c r="H67" s="26">
        <f>IF(OR(F67="",G67=""),"",G67-F67+1)</f>
        <v/>
      </c>
      <c r="I67" s="26" t="n"/>
      <c r="J67" s="26" t="n"/>
      <c r="K67" s="28" t="n"/>
      <c r="L67" s="26" t="n"/>
      <c r="M67" s="29" t="n"/>
      <c r="N67" s="29" t="n"/>
      <c r="O67" s="26" t="n"/>
    </row>
    <row r="68" ht="21" customHeight="1">
      <c r="A68" s="26" t="n"/>
      <c r="B68" s="26" t="n"/>
      <c r="C68" s="26" t="n"/>
      <c r="D68" s="26" t="n"/>
      <c r="E68" s="26" t="n"/>
      <c r="F68" s="27" t="n"/>
      <c r="G68" s="27" t="n"/>
      <c r="H68" s="26">
        <f>IF(OR(F68="",G68=""),"",G68-F68+1)</f>
        <v/>
      </c>
      <c r="I68" s="26" t="n"/>
      <c r="J68" s="26" t="n"/>
      <c r="K68" s="28" t="n"/>
      <c r="L68" s="26" t="n"/>
      <c r="M68" s="29" t="n"/>
      <c r="N68" s="29" t="n"/>
      <c r="O68" s="26" t="n"/>
    </row>
    <row r="69" ht="21" customHeight="1">
      <c r="A69" s="26" t="n"/>
      <c r="B69" s="26" t="n"/>
      <c r="C69" s="26" t="n"/>
      <c r="D69" s="26" t="n"/>
      <c r="E69" s="26" t="n"/>
      <c r="F69" s="27" t="n"/>
      <c r="G69" s="27" t="n"/>
      <c r="H69" s="26">
        <f>IF(OR(F69="",G69=""),"",G69-F69+1)</f>
        <v/>
      </c>
      <c r="I69" s="26" t="n"/>
      <c r="J69" s="26" t="n"/>
      <c r="K69" s="28" t="n"/>
      <c r="L69" s="26" t="n"/>
      <c r="M69" s="29" t="n"/>
      <c r="N69" s="29" t="n"/>
      <c r="O69" s="26" t="n"/>
    </row>
    <row r="70" ht="21" customHeight="1">
      <c r="A70" s="26" t="n"/>
      <c r="B70" s="26" t="n"/>
      <c r="C70" s="26" t="n"/>
      <c r="D70" s="26" t="n"/>
      <c r="E70" s="26" t="n"/>
      <c r="F70" s="27" t="n"/>
      <c r="G70" s="27" t="n"/>
      <c r="H70" s="26">
        <f>IF(OR(F70="",G70=""),"",G70-F70+1)</f>
        <v/>
      </c>
      <c r="I70" s="26" t="n"/>
      <c r="J70" s="26" t="n"/>
      <c r="K70" s="28" t="n"/>
      <c r="L70" s="26" t="n"/>
      <c r="M70" s="29" t="n"/>
      <c r="N70" s="29" t="n"/>
      <c r="O70" s="26" t="n"/>
    </row>
    <row r="71" ht="21" customHeight="1">
      <c r="A71" s="26" t="n"/>
      <c r="B71" s="26" t="n"/>
      <c r="C71" s="26" t="n"/>
      <c r="D71" s="26" t="n"/>
      <c r="E71" s="26" t="n"/>
      <c r="F71" s="27" t="n"/>
      <c r="G71" s="27" t="n"/>
      <c r="H71" s="26">
        <f>IF(OR(F71="",G71=""),"",G71-F71+1)</f>
        <v/>
      </c>
      <c r="I71" s="26" t="n"/>
      <c r="J71" s="26" t="n"/>
      <c r="K71" s="28" t="n"/>
      <c r="L71" s="26" t="n"/>
      <c r="M71" s="29" t="n"/>
      <c r="N71" s="29" t="n"/>
      <c r="O71" s="26" t="n"/>
    </row>
    <row r="72" ht="21" customHeight="1">
      <c r="A72" s="26" t="n"/>
      <c r="B72" s="26" t="n"/>
      <c r="C72" s="26" t="n"/>
      <c r="D72" s="26" t="n"/>
      <c r="E72" s="26" t="n"/>
      <c r="F72" s="27" t="n"/>
      <c r="G72" s="27" t="n"/>
      <c r="H72" s="26">
        <f>IF(OR(F72="",G72=""),"",G72-F72+1)</f>
        <v/>
      </c>
      <c r="I72" s="26" t="n"/>
      <c r="J72" s="26" t="n"/>
      <c r="K72" s="28" t="n"/>
      <c r="L72" s="26" t="n"/>
      <c r="M72" s="29" t="n"/>
      <c r="N72" s="29" t="n"/>
      <c r="O72" s="26" t="n"/>
    </row>
    <row r="73" ht="21" customHeight="1">
      <c r="A73" s="26" t="n"/>
      <c r="B73" s="26" t="n"/>
      <c r="C73" s="26" t="n"/>
      <c r="D73" s="26" t="n"/>
      <c r="E73" s="26" t="n"/>
      <c r="F73" s="27" t="n"/>
      <c r="G73" s="27" t="n"/>
      <c r="H73" s="26">
        <f>IF(OR(F73="",G73=""),"",G73-F73+1)</f>
        <v/>
      </c>
      <c r="I73" s="26" t="n"/>
      <c r="J73" s="26" t="n"/>
      <c r="K73" s="28" t="n"/>
      <c r="L73" s="26" t="n"/>
      <c r="M73" s="29" t="n"/>
      <c r="N73" s="29" t="n"/>
      <c r="O73" s="26" t="n"/>
    </row>
    <row r="74" ht="21" customHeight="1">
      <c r="A74" s="26" t="n"/>
      <c r="B74" s="26" t="n"/>
      <c r="C74" s="26" t="n"/>
      <c r="D74" s="26" t="n"/>
      <c r="E74" s="26" t="n"/>
      <c r="F74" s="27" t="n"/>
      <c r="G74" s="27" t="n"/>
      <c r="H74" s="26">
        <f>IF(OR(F74="",G74=""),"",G74-F74+1)</f>
        <v/>
      </c>
      <c r="I74" s="26" t="n"/>
      <c r="J74" s="26" t="n"/>
      <c r="K74" s="28" t="n"/>
      <c r="L74" s="26" t="n"/>
      <c r="M74" s="29" t="n"/>
      <c r="N74" s="29" t="n"/>
      <c r="O74" s="26" t="n"/>
    </row>
    <row r="75" ht="21" customHeight="1">
      <c r="A75" s="26" t="n"/>
      <c r="B75" s="26" t="n"/>
      <c r="C75" s="26" t="n"/>
      <c r="D75" s="26" t="n"/>
      <c r="E75" s="26" t="n"/>
      <c r="F75" s="27" t="n"/>
      <c r="G75" s="27" t="n"/>
      <c r="H75" s="26">
        <f>IF(OR(F75="",G75=""),"",G75-F75+1)</f>
        <v/>
      </c>
      <c r="I75" s="26" t="n"/>
      <c r="J75" s="26" t="n"/>
      <c r="K75" s="28" t="n"/>
      <c r="L75" s="26" t="n"/>
      <c r="M75" s="29" t="n"/>
      <c r="N75" s="29" t="n"/>
      <c r="O75" s="26" t="n"/>
    </row>
    <row r="76" ht="21" customHeight="1">
      <c r="A76" s="26" t="n"/>
      <c r="B76" s="26" t="n"/>
      <c r="C76" s="26" t="n"/>
      <c r="D76" s="26" t="n"/>
      <c r="E76" s="26" t="n"/>
      <c r="F76" s="27" t="n"/>
      <c r="G76" s="27" t="n"/>
      <c r="H76" s="26">
        <f>IF(OR(F76="",G76=""),"",G76-F76+1)</f>
        <v/>
      </c>
      <c r="I76" s="26" t="n"/>
      <c r="J76" s="26" t="n"/>
      <c r="K76" s="28" t="n"/>
      <c r="L76" s="26" t="n"/>
      <c r="M76" s="29" t="n"/>
      <c r="N76" s="29" t="n"/>
      <c r="O76" s="26" t="n"/>
    </row>
    <row r="77" ht="21" customHeight="1">
      <c r="A77" s="26" t="n"/>
      <c r="B77" s="26" t="n"/>
      <c r="C77" s="26" t="n"/>
      <c r="D77" s="26" t="n"/>
      <c r="E77" s="26" t="n"/>
      <c r="F77" s="27" t="n"/>
      <c r="G77" s="27" t="n"/>
      <c r="H77" s="26">
        <f>IF(OR(F77="",G77=""),"",G77-F77+1)</f>
        <v/>
      </c>
      <c r="I77" s="26" t="n"/>
      <c r="J77" s="26" t="n"/>
      <c r="K77" s="28" t="n"/>
      <c r="L77" s="26" t="n"/>
      <c r="M77" s="29" t="n"/>
      <c r="N77" s="29" t="n"/>
      <c r="O77" s="26" t="n"/>
    </row>
    <row r="78" ht="21" customHeight="1">
      <c r="A78" s="26" t="n"/>
      <c r="B78" s="26" t="n"/>
      <c r="C78" s="26" t="n"/>
      <c r="D78" s="26" t="n"/>
      <c r="E78" s="26" t="n"/>
      <c r="F78" s="27" t="n"/>
      <c r="G78" s="27" t="n"/>
      <c r="H78" s="26">
        <f>IF(OR(F78="",G78=""),"",G78-F78+1)</f>
        <v/>
      </c>
      <c r="I78" s="26" t="n"/>
      <c r="J78" s="26" t="n"/>
      <c r="K78" s="28" t="n"/>
      <c r="L78" s="26" t="n"/>
      <c r="M78" s="29" t="n"/>
      <c r="N78" s="29" t="n"/>
      <c r="O78" s="26" t="n"/>
    </row>
    <row r="79">
      <c r="H79">
        <f>IF(OR(F79="",G79=""),"",G79-F79+1)</f>
        <v/>
      </c>
    </row>
    <row r="80">
      <c r="H80">
        <f>IF(OR(F80="",G80=""),"",G80-F80+1)</f>
        <v/>
      </c>
    </row>
    <row r="81">
      <c r="H81">
        <f>IF(OR(F81="",G81=""),"",G81-F81+1)</f>
        <v/>
      </c>
    </row>
    <row r="82">
      <c r="H82">
        <f>IF(OR(F82="",G82=""),"",G82-F82+1)</f>
        <v/>
      </c>
    </row>
    <row r="83">
      <c r="H83">
        <f>IF(OR(F83="",G83=""),"",G83-F83+1)</f>
        <v/>
      </c>
    </row>
    <row r="84">
      <c r="H84">
        <f>IF(OR(F84="",G84=""),"",G84-F84+1)</f>
        <v/>
      </c>
    </row>
    <row r="85">
      <c r="H85">
        <f>IF(OR(F85="",G85=""),"",G85-F85+1)</f>
        <v/>
      </c>
    </row>
    <row r="86">
      <c r="H86">
        <f>IF(OR(F86="",G86=""),"",G86-F86+1)</f>
        <v/>
      </c>
    </row>
    <row r="87">
      <c r="H87">
        <f>IF(OR(F87="",G87=""),"",G87-F87+1)</f>
        <v/>
      </c>
    </row>
    <row r="88">
      <c r="H88">
        <f>IF(OR(F88="",G88=""),"",G88-F88+1)</f>
        <v/>
      </c>
    </row>
    <row r="89">
      <c r="H89">
        <f>IF(OR(F89="",G89=""),"",G89-F89+1)</f>
        <v/>
      </c>
    </row>
    <row r="90">
      <c r="H90">
        <f>IF(OR(F90="",G90=""),"",G90-F90+1)</f>
        <v/>
      </c>
    </row>
    <row r="91">
      <c r="H91">
        <f>IF(OR(F91="",G91=""),"",G91-F91+1)</f>
        <v/>
      </c>
    </row>
    <row r="92">
      <c r="H92">
        <f>IF(OR(F92="",G92=""),"",G92-F92+1)</f>
        <v/>
      </c>
    </row>
    <row r="93">
      <c r="H93">
        <f>IF(OR(F93="",G93=""),"",G93-F93+1)</f>
        <v/>
      </c>
    </row>
    <row r="94">
      <c r="H94">
        <f>IF(OR(F94="",G94=""),"",G94-F94+1)</f>
        <v/>
      </c>
    </row>
    <row r="95">
      <c r="H95">
        <f>IF(OR(F95="",G95=""),"",G95-F95+1)</f>
        <v/>
      </c>
    </row>
    <row r="96">
      <c r="H96">
        <f>IF(OR(F96="",G96=""),"",G96-F96+1)</f>
        <v/>
      </c>
    </row>
    <row r="97">
      <c r="H97">
        <f>IF(OR(F97="",G97=""),"",G97-F97+1)</f>
        <v/>
      </c>
    </row>
    <row r="98">
      <c r="H98">
        <f>IF(OR(F98="",G98=""),"",G98-F98+1)</f>
        <v/>
      </c>
    </row>
    <row r="99">
      <c r="H99">
        <f>IF(OR(F99="",G99=""),"",G99-F99+1)</f>
        <v/>
      </c>
    </row>
    <row r="100">
      <c r="H100">
        <f>IF(OR(F100="",G100=""),"",G100-F100+1)</f>
        <v/>
      </c>
    </row>
  </sheetData>
  <autoFilter ref="A3:O78"/>
  <mergeCells count="6">
    <mergeCell ref="L2:M2"/>
    <mergeCell ref="I2:K2"/>
    <mergeCell ref="A2:E2"/>
    <mergeCell ref="N2:O2"/>
    <mergeCell ref="A1:O1"/>
    <mergeCell ref="F2:H2"/>
  </mergeCells>
  <conditionalFormatting sqref="J4:J100">
    <cfRule type="expression" priority="1" dxfId="0">
      <formula>$J4="已完成"</formula>
    </cfRule>
    <cfRule type="expression" priority="2" dxfId="1">
      <formula>$J4="进行中"</formula>
    </cfRule>
    <cfRule type="expression" priority="3" dxfId="2">
      <formula>$J4="已延期"</formula>
    </cfRule>
    <cfRule type="expression" priority="4" dxfId="3">
      <formula>$J4="暂停"</formula>
    </cfRule>
    <cfRule type="expression" priority="5" dxfId="4">
      <formula>$J4="未开始"</formula>
    </cfRule>
  </conditionalFormatting>
  <conditionalFormatting sqref="A4:O100">
    <cfRule type="expression" priority="6" dxfId="5">
      <formula>AND($G4&lt;&gt;"",$G4&lt;TODAY(),$J4&lt;&gt;"已完成",$A4&lt;&gt;"")</formula>
    </cfRule>
  </conditionalFormatting>
  <conditionalFormatting sqref="K4:K100">
    <cfRule type="dataBar" priority="7">
      <dataBar showValue="1">
        <cfvo type="num" val="0"/>
        <cfvo type="num" val="1"/>
        <color rgb="00638EC6"/>
      </dataBar>
    </cfRule>
  </conditionalFormatting>
  <dataValidations count="4">
    <dataValidation sqref="J4:J100" showDropDown="0" showInputMessage="0" showErrorMessage="1" allowBlank="1" errorTitle="无效输入" error="请从下拉列表中选择状态" type="list">
      <formula1>"未开始,进行中,已完成,已延期,暂停"</formula1>
    </dataValidation>
    <dataValidation sqref="L4:L100" showDropDown="0" showInputMessage="0" showErrorMessage="1" allowBlank="1" errorTitle="无效输入" error="请选择：高 / 中 / 低" type="list">
      <formula1>"高,中,低"</formula1>
    </dataValidation>
    <dataValidation sqref="C4:C100" showDropDown="0" showInputMessage="0" showErrorMessage="1" allowBlank="1" errorTitle="无效输入" error="层级应为 1-6 的整数" type="whole" operator="between">
      <formula1>1</formula1>
      <formula2>6</formula2>
    </dataValidation>
    <dataValidation sqref="K4:K100" showDropDown="0" showInputMessage="0" showErrorMessage="1" allowBlank="1" errorTitle="无效输入" error="进度请输入 0%~100% 之间的百分比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6" customWidth="1" min="3" max="3"/>
    <col width="24" customWidth="1" min="4" max="4"/>
    <col width="32" customWidth="1" min="5" max="5"/>
    <col width="10" customWidth="1" min="6" max="6"/>
    <col width="22" customWidth="1" min="7" max="7"/>
    <col width="22" customWidth="1" min="8" max="8"/>
  </cols>
  <sheetData>
    <row r="1" ht="32" customHeight="1">
      <c r="A1" s="30" t="inlineStr">
        <is>
          <t>WBS词典（工作包定义）</t>
        </is>
      </c>
      <c r="B1" s="31" t="n"/>
      <c r="C1" s="31" t="n"/>
      <c r="D1" s="31" t="n"/>
      <c r="E1" s="31" t="n"/>
      <c r="F1" s="31" t="n"/>
      <c r="G1" s="31" t="n"/>
      <c r="H1" s="31" t="n"/>
    </row>
    <row r="2" ht="26" customHeight="1">
      <c r="A2" s="32" t="inlineStr">
        <is>
          <t>WBS编号</t>
        </is>
      </c>
      <c r="B2" s="32" t="inlineStr">
        <is>
          <t>任务名称</t>
        </is>
      </c>
      <c r="C2" s="32" t="inlineStr">
        <is>
          <t>工作内容描述</t>
        </is>
      </c>
      <c r="D2" s="32" t="inlineStr">
        <is>
          <t>交付物</t>
        </is>
      </c>
      <c r="E2" s="32" t="inlineStr">
        <is>
          <t>验收标准</t>
        </is>
      </c>
      <c r="F2" s="32" t="inlineStr">
        <is>
          <t>责任人</t>
        </is>
      </c>
      <c r="G2" s="32" t="inlineStr">
        <is>
          <t>假设与前提</t>
        </is>
      </c>
      <c r="H2" s="32" t="inlineStr">
        <is>
          <t>备注</t>
        </is>
      </c>
    </row>
    <row r="3" ht="44" customHeight="1">
      <c r="A3" s="33" t="inlineStr">
        <is>
          <t>2.2.1</t>
        </is>
      </c>
      <c r="B3" s="34" t="inlineStr">
        <is>
          <t>编写需求规格说明书</t>
        </is>
      </c>
      <c r="C3" s="34" t="inlineStr">
        <is>
          <t>汇总调研结果，按公司模板编写功能需求与非功能需求，并组织内部预评审。</t>
        </is>
      </c>
      <c r="D3" s="34" t="inlineStr">
        <is>
          <t>需求规格说明书（V1.0基线）</t>
        </is>
      </c>
      <c r="E3" s="34" t="inlineStr">
        <is>
          <t>覆盖全部业务范围；通过评审并由客户代表签字确认。</t>
        </is>
      </c>
      <c r="F3" s="33" t="inlineStr">
        <is>
          <t>李娜</t>
        </is>
      </c>
      <c r="G3" s="34" t="inlineStr">
        <is>
          <t>需求调研已全部完成</t>
        </is>
      </c>
      <c r="H3" s="34" t="inlineStr">
        <is>
          <t>评审会预留半天</t>
        </is>
      </c>
    </row>
    <row r="4" ht="44" customHeight="1">
      <c r="A4" s="33" t="inlineStr">
        <is>
          <t>3.2.1</t>
        </is>
      </c>
      <c r="B4" s="34" t="inlineStr">
        <is>
          <t>数据库设计</t>
        </is>
      </c>
      <c r="C4" s="34" t="inlineStr">
        <is>
          <t>基于批准的架构完成概念、逻辑、物理模型设计，编制数据字典与索引方案。</t>
        </is>
      </c>
      <c r="D4" s="34" t="inlineStr">
        <is>
          <t>ER图、数据字典、建表脚本</t>
        </is>
      </c>
      <c r="E4" s="34" t="inlineStr">
        <is>
          <t>满足第三范式（反范式设计需书面说明理由）；通过架构组评审。</t>
        </is>
      </c>
      <c r="F4" s="33" t="inlineStr">
        <is>
          <t>张伟</t>
        </is>
      </c>
      <c r="G4" s="34" t="inlineStr">
        <is>
          <t>架构设计文档已批准</t>
        </is>
      </c>
      <c r="H4" s="34" t="inlineStr">
        <is>
          <t>核心表预留扩展字段</t>
        </is>
      </c>
    </row>
    <row r="5" ht="44" customHeight="1">
      <c r="A5" s="33" t="inlineStr">
        <is>
          <t>4.2.2</t>
        </is>
      </c>
      <c r="B5" s="34" t="inlineStr">
        <is>
          <t>业务逻辑与接口开发</t>
        </is>
      </c>
      <c r="C5" s="34" t="inlineStr">
        <is>
          <t>按接口规范实现全部业务接口，包含参数校验、异常处理与操作日志。</t>
        </is>
      </c>
      <c r="D5" s="34" t="inlineStr">
        <is>
          <t>后端服务代码（含单元测试）</t>
        </is>
      </c>
      <c r="E5" s="34" t="inlineStr">
        <is>
          <t>联调全部通过；单元测试覆盖率 ≥ 70%；无阻塞性缺陷。</t>
        </is>
      </c>
      <c r="F5" s="33" t="inlineStr">
        <is>
          <t>陈杰</t>
        </is>
      </c>
      <c r="G5" s="34" t="inlineStr">
        <is>
          <t>接口规范已冻结</t>
        </is>
      </c>
      <c r="H5" s="34" t="inlineStr">
        <is>
          <t>核心交易类接口优先</t>
        </is>
      </c>
    </row>
    <row r="6" ht="44" customHeight="1">
      <c r="A6" s="33" t="inlineStr">
        <is>
          <t>5.2.3</t>
        </is>
      </c>
      <c r="B6" s="34" t="inlineStr">
        <is>
          <t>用户验收测试(UAT)</t>
        </is>
      </c>
      <c r="C6" s="34" t="inlineStr">
        <is>
          <t>组织关键用户按业务场景执行UAT，记录问题并跟踪闭环。</t>
        </is>
      </c>
      <c r="D6" s="34" t="inlineStr">
        <is>
          <t>UAT报告、问题清单</t>
        </is>
      </c>
      <c r="E6" s="34" t="inlineStr">
        <is>
          <t>P0/P1级问题全部关闭；用户代表签署UAT结论。</t>
        </is>
      </c>
      <c r="F6" s="33" t="inlineStr">
        <is>
          <t>李娜</t>
        </is>
      </c>
      <c r="G6" s="34" t="inlineStr">
        <is>
          <t>功能/性能测试已通过</t>
        </is>
      </c>
      <c r="H6" s="34" t="inlineStr">
        <is>
          <t>预留1天回归窗口</t>
        </is>
      </c>
    </row>
    <row r="7" ht="44" customHeight="1">
      <c r="A7" s="33" t="inlineStr">
        <is>
          <t>6.2.1</t>
        </is>
      </c>
      <c r="B7" s="34" t="inlineStr">
        <is>
          <t>系统部署与数据迁移</t>
        </is>
      </c>
      <c r="C7" s="34" t="inlineStr">
        <is>
          <t>执行正式发布：部署应用、迁移历史数据并核对一致性，验证通过后开放访问。</t>
        </is>
      </c>
      <c r="D7" s="34" t="inlineStr">
        <is>
          <t>上线记录、数据核对报告</t>
        </is>
      </c>
      <c r="E7" s="34" t="inlineStr">
        <is>
          <t>数据迁移核对差异率为0；回退方案演练就绪。</t>
        </is>
      </c>
      <c r="F7" s="33" t="inlineStr">
        <is>
          <t>张伟</t>
        </is>
      </c>
      <c r="G7" s="34" t="inlineStr">
        <is>
          <t>生产环境已准备完毕</t>
        </is>
      </c>
      <c r="H7" s="34" t="inlineStr">
        <is>
          <t>迁移窗口：夜间22:00后</t>
        </is>
      </c>
    </row>
    <row r="8" ht="22" customHeight="1">
      <c r="A8" s="26" t="n"/>
      <c r="B8" s="26" t="n"/>
      <c r="C8" s="26" t="n"/>
      <c r="D8" s="26" t="n"/>
      <c r="E8" s="26" t="n"/>
      <c r="F8" s="26" t="n"/>
      <c r="G8" s="26" t="n"/>
      <c r="H8" s="26" t="n"/>
    </row>
    <row r="9" ht="22" customHeight="1">
      <c r="A9" s="26" t="n"/>
      <c r="B9" s="26" t="n"/>
      <c r="C9" s="26" t="n"/>
      <c r="D9" s="26" t="n"/>
      <c r="E9" s="26" t="n"/>
      <c r="F9" s="26" t="n"/>
      <c r="G9" s="26" t="n"/>
      <c r="H9" s="26" t="n"/>
    </row>
    <row r="10" ht="22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</row>
    <row r="11" ht="22" customHeight="1">
      <c r="A11" s="26" t="n"/>
      <c r="B11" s="26" t="n"/>
      <c r="C11" s="26" t="n"/>
      <c r="D11" s="26" t="n"/>
      <c r="E11" s="26" t="n"/>
      <c r="F11" s="26" t="n"/>
      <c r="G11" s="26" t="n"/>
      <c r="H11" s="26" t="n"/>
    </row>
    <row r="12" ht="22" customHeight="1">
      <c r="A12" s="26" t="n"/>
      <c r="B12" s="26" t="n"/>
      <c r="C12" s="26" t="n"/>
      <c r="D12" s="26" t="n"/>
      <c r="E12" s="26" t="n"/>
      <c r="F12" s="26" t="n"/>
      <c r="G12" s="26" t="n"/>
      <c r="H12" s="26" t="n"/>
    </row>
    <row r="13" ht="22" customHeight="1">
      <c r="A13" s="26" t="n"/>
      <c r="B13" s="26" t="n"/>
      <c r="C13" s="26" t="n"/>
      <c r="D13" s="26" t="n"/>
      <c r="E13" s="26" t="n"/>
      <c r="F13" s="26" t="n"/>
      <c r="G13" s="26" t="n"/>
      <c r="H13" s="26" t="n"/>
    </row>
    <row r="14" ht="22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</row>
    <row r="15" ht="22" customHeight="1">
      <c r="A15" s="26" t="n"/>
      <c r="B15" s="26" t="n"/>
      <c r="C15" s="26" t="n"/>
      <c r="D15" s="26" t="n"/>
      <c r="E15" s="26" t="n"/>
      <c r="F15" s="26" t="n"/>
      <c r="G15" s="26" t="n"/>
      <c r="H15" s="26" t="n"/>
    </row>
    <row r="16" ht="22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</row>
    <row r="17" ht="22" customHeight="1">
      <c r="A17" s="26" t="n"/>
      <c r="B17" s="26" t="n"/>
      <c r="C17" s="26" t="n"/>
      <c r="D17" s="26" t="n"/>
      <c r="E17" s="26" t="n"/>
      <c r="F17" s="26" t="n"/>
      <c r="G17" s="26" t="n"/>
      <c r="H17" s="26" t="n"/>
    </row>
  </sheetData>
  <autoFilter ref="A2:H17"/>
  <mergeCells count="1">
    <mergeCell ref="A1:H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6" customWidth="1" min="3" max="3"/>
  </cols>
  <sheetData>
    <row r="1" ht="32" customHeight="1">
      <c r="A1" s="35" t="inlineStr">
        <is>
          <t>项目进度汇总（自动统计）</t>
        </is>
      </c>
      <c r="B1" s="36" t="n"/>
      <c r="C1" s="36" t="n"/>
    </row>
    <row r="2" ht="24" customHeight="1">
      <c r="A2" s="37" t="inlineStr">
        <is>
          <t>统计项</t>
        </is>
      </c>
      <c r="B2" s="37" t="inlineStr">
        <is>
          <t>数值</t>
        </is>
      </c>
      <c r="C2" s="37" t="inlineStr">
        <is>
          <t>说明</t>
        </is>
      </c>
    </row>
    <row r="3">
      <c r="A3" s="38" t="inlineStr">
        <is>
          <t>任务总数（含各级汇总行）</t>
        </is>
      </c>
      <c r="B3" s="39">
        <f>COUNTA('WBS模板'!$A$4:$A$100)</f>
        <v/>
      </c>
      <c r="C3" s="40" t="inlineStr">
        <is>
          <t>按已填写WBS编号的行数统计</t>
        </is>
      </c>
    </row>
    <row r="4">
      <c r="A4" s="38" t="inlineStr">
        <is>
          <t>其中：一级任务数</t>
        </is>
      </c>
      <c r="B4" s="39">
        <f>COUNTIF('WBS模板'!$C$4:$C$100,1)</f>
        <v/>
      </c>
      <c r="C4" s="40" t="inlineStr">
        <is>
          <t>层级=1 的行数</t>
        </is>
      </c>
    </row>
    <row r="5">
      <c r="A5" s="38" t="inlineStr">
        <is>
          <t>已完成</t>
        </is>
      </c>
      <c r="B5" s="39">
        <f>COUNTIF('WBS模板'!$J$4:$J$100,"已完成")</f>
        <v/>
      </c>
      <c r="C5" s="40" t="inlineStr"/>
    </row>
    <row r="6">
      <c r="A6" s="38" t="inlineStr">
        <is>
          <t>进行中</t>
        </is>
      </c>
      <c r="B6" s="39">
        <f>COUNTIF('WBS模板'!$J$4:$J$100,"进行中")</f>
        <v/>
      </c>
      <c r="C6" s="40" t="inlineStr"/>
    </row>
    <row r="7">
      <c r="A7" s="38" t="inlineStr">
        <is>
          <t>未开始</t>
        </is>
      </c>
      <c r="B7" s="39">
        <f>COUNTIF('WBS模板'!$J$4:$J$100,"未开始")</f>
        <v/>
      </c>
      <c r="C7" s="40" t="inlineStr"/>
    </row>
    <row r="8">
      <c r="A8" s="38" t="inlineStr">
        <is>
          <t>已延期</t>
        </is>
      </c>
      <c r="B8" s="39">
        <f>COUNTIF('WBS模板'!$J$4:$J$100,"已延期")</f>
        <v/>
      </c>
      <c r="C8" s="40" t="inlineStr"/>
    </row>
    <row r="9">
      <c r="A9" s="38" t="inlineStr">
        <is>
          <t>暂停</t>
        </is>
      </c>
      <c r="B9" s="39">
        <f>COUNTIF('WBS模板'!$J$4:$J$100,"暂停")</f>
        <v/>
      </c>
      <c r="C9" s="40" t="inlineStr"/>
    </row>
    <row r="10">
      <c r="A10" s="38" t="inlineStr">
        <is>
          <t>任务完成率</t>
        </is>
      </c>
      <c r="B10" s="41">
        <f>IFERROR(COUNTIF('WBS模板'!$J$4:$J$100,"已完成")/COUNTA('WBS模板'!$A$4:$A$100),0)</f>
        <v/>
      </c>
      <c r="C10" s="40" t="inlineStr">
        <is>
          <t>已完成 ÷ 任务总数</t>
        </is>
      </c>
    </row>
    <row r="11">
      <c r="A11" s="38" t="inlineStr">
        <is>
          <t>整体平均进度</t>
        </is>
      </c>
      <c r="B11" s="41">
        <f>IFERROR(AVERAGE('WBS模板'!$K$4:$K$100),0)</f>
        <v/>
      </c>
      <c r="C11" s="40" t="inlineStr">
        <is>
          <t>对已填进度行简单平均</t>
        </is>
      </c>
    </row>
    <row r="12">
      <c r="A12" s="38" t="inlineStr">
        <is>
          <t>预算合计（元）</t>
        </is>
      </c>
      <c r="B12" s="42">
        <f>SUM('WBS模板'!$M$4:$M$100)</f>
        <v/>
      </c>
      <c r="C12" s="40" t="inlineStr">
        <is>
          <t>建议只在最底层工作包填预算</t>
        </is>
      </c>
    </row>
    <row r="13">
      <c r="A13" s="38" t="inlineStr">
        <is>
          <t>实际成本合计（元）</t>
        </is>
      </c>
      <c r="B13" s="42">
        <f>SUM('WBS模板'!$N$4:$N$100)</f>
        <v/>
      </c>
      <c r="C13" s="40" t="inlineStr"/>
    </row>
    <row r="14">
      <c r="A14" s="38" t="inlineStr">
        <is>
          <t>成本偏差（预算-实际）</t>
        </is>
      </c>
      <c r="B14" s="42">
        <f>B12-B13</f>
        <v/>
      </c>
      <c r="C14" s="40" t="inlineStr">
        <is>
          <t>正数=结余，负数=超支</t>
        </is>
      </c>
    </row>
    <row r="15" ht="22" customHeight="1">
      <c r="A15" s="43" t="inlineStr">
        <is>
          <t>※ 本页数据自动汇总自「WBS模板」表（第4–100行），请勿手工修改。</t>
        </is>
      </c>
    </row>
  </sheetData>
  <mergeCells count="2">
    <mergeCell ref="A1:C1"/>
    <mergeCell ref="A15:C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</dc:creator>
  <dc:title xmlns:dc="http://purl.org/dc/elements/1.1/">WBS工作分解结构模板</dc:title>
  <dcterms:created xmlns:dcterms="http://purl.org/dc/terms/" xmlns:xsi="http://www.w3.org/2001/XMLSchema-instance" xsi:type="dcterms:W3CDTF">2026-09-01T06:25:24Z</dcterms:created>
  <dcterms:modified xmlns:dcterms="http://purl.org/dc/terms/" xmlns:xsi="http://www.w3.org/2001/XMLSchema-instance" xsi:type="dcterms:W3CDTF">2026-09-01T06:25:24Z</dcterms:modified>
</cp:coreProperties>
</file>