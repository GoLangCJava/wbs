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persons/person.xml" ContentType="application/vnd.ms-excel.person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 codeName="ThisWorkbook"/>
  <x15ac:absPath url="https://abbott.sharepoint.com/sites/CN-BTS-ProjectMgt/Shared Documents/01 Corporate/PD-00900 RIMS/30_Blueprint_Design/"/>
  <bookViews>
    <workbookView activeTab="1"/>
  </bookViews>
  <sheets>
    <sheet name="风险清单 (2)" sheetId="1" state="hidden" r:id="rId4"/>
    <sheet name="Scope-Phase1" sheetId="2" r:id="rId5"/>
    <sheet name="Azure Resource" sheetId="3" r:id="rId6"/>
    <sheet name="团队角色与分工" sheetId="4" r:id="rId7"/>
    <sheet name="功能评估" sheetId="5" r:id="rId8"/>
    <sheet name="计划总览" sheetId="6" r:id="rId9"/>
    <sheet name="WBS" sheetId="7" r:id="rId10"/>
    <sheet name="风险清单" sheetId="8" state="hidden" r:id="rId11"/>
    <sheet name="影响分析" sheetId="9" state="hidden" r:id="rId12"/>
  </sheets>
  <externalReferences>
    <externalReference r:id="rId13"/>
  </externalReferences>
  <definedNames>
    <definedName name="_xlnm._FilterDatabase" localSheetId="6" hidden="1">WBS!$A$3:$L$3</definedName>
  </definedNames>
  <calcPr calcId="191029"/>
</workbook>
</file>

<file path=xl/comments1.xml><?xml version="1.0" encoding="utf-8"?>
<comments xmlns="http://schemas.openxmlformats.org/spreadsheetml/2006/main">
  <authors>
    <author>tc={52694713-7297-4006-B12A-3971A60A6B18}</author>
  </authors>
  <commentList>
    <comment ref="O3" authorId="0">
      <text>
        <r>
          <t>0:0 AM everyday by default</t>
        </r>
      </text>
    </comment>
  </commentList>
</comments>
</file>

<file path=xl/sharedStrings.xml><?xml version="1.0" encoding="utf-8"?>
<sst xmlns="http://schemas.openxmlformats.org/spreadsheetml/2006/main" count="1340" uniqueCount="1340">
  <si>
    <t/>
  </si>
  <si>
    <t>AI Vibe Coding 执行方案 · 局限性与风险清单</t>
  </si>
  <si>
    <t>类别</t>
  </si>
  <si>
    <t>局限点</t>
  </si>
  <si>
    <t>具体表现</t>
  </si>
  <si>
    <t>影响阶段</t>
  </si>
  <si>
    <t>后果与量化影响</t>
  </si>
  <si>
    <t>等级</t>
  </si>
  <si>
    <t>已有缓解措施</t>
  </si>
  <si>
    <t>需管理层决策 / 授权事项</t>
  </si>
  <si>
    <t>预警信号</t>
  </si>
  <si>
    <t>A 人身与组织</t>
  </si>
  <si>
    <t>决策无对手方，架构错误发现晚</t>
  </si>
  <si>
    <t>架构与技术选型（Iceberg 分层、掩码方案、处置引擎调度）无人挑战，AI 倾向顺从提问者既有思路，不构成独立反对意见。</t>
  </si>
  <si>
    <t>P0~P2 决策，P3 暴露</t>
  </si>
  <si>
    <t>一次分层或权限模型的方向性错误，若在 P3 全量迁移（600~800 表）后才暴露，返工成本约 10~15 人天，且需重跑迁移批次。</t>
  </si>
  <si>
    <t>高</t>
  </si>
  <si>
    <t>关键决策写 ADR 留痕；W5 MVP 里程碑做一次端到端自查。</t>
  </si>
  <si>
    <t>① 外部架构评审 2 次（P0 末、P2 末，各 2h）；② 平台团队对 UC / 存储方案出具书面认可。</t>
  </si>
  <si>
    <t>同一模块两周内被重构两次以上。</t>
  </si>
  <si>
    <t>B 质量与工程</t>
  </si>
  <si>
    <t>无代码评审，缺陷拦截层缺失</t>
  </si>
  <si>
    <t>团队版的代码评审 + 独立 QA 两道人工防线全部取消，仅靠 AI 自查与自动化测试兜底。AI 自查与写代码同源，存在同源盲区。</t>
  </si>
  <si>
    <t>P1~P3</t>
  </si>
  <si>
    <t>行业经验值中同行评审可拦截 50%~60% 缺陷；该部分缺陷将后移至 UAT 或生产暴露，修复成本约为编码期的 10~30 倍。按本项目体量，预估额外返工 8~15 人天。</t>
  </si>
  <si>
    <t>极高</t>
  </si>
  <si>
    <t>四道安全门禁进 CI；集成测试覆盖率 &gt;60%；越权与掩码旁路用例全跑。</t>
  </si>
  <si>
    <t>① 外部评审人每两周 4h，只看关键模块（RBAC / 掩码 / 加密 / 处置引擎）——约 10 人天/全周期；② 覆盖率红线写入验收标准。</t>
  </si>
  <si>
    <t>UAT 缺陷密度显著高于历史同类项目。</t>
  </si>
  <si>
    <t>AI 生成代码的固有缺陷</t>
  </si>
  <si>
    <t>幻觉 API、过时依赖、隐性安全缺陷、重复实现、抽象缺失。Vibe coding 下代码量膨胀快，一致性依赖人工把关，而把关者只有一人。</t>
  </si>
  <si>
    <t>P1~P3 累积</t>
  </si>
  <si>
    <t>技术债在 P3 全量与 P4 回归阶段集中放大，回归测试与修复时间上升；上线后可维护性下降，转维成本增加。</t>
  </si>
  <si>
    <t>四道门禁为硬门禁；依赖版本锁定；集成测试覆盖关键路径。</t>
  </si>
  <si>
    <t>① 授权门禁不可 bypass（含紧急发布，不开临时豁免）；② 认可 P6 缓冲中包含技术债偿还时间，不挪用于新功能。</t>
  </si>
  <si>
    <t>同类逻辑出现 3 处以上重复实现；门禁被临时豁免。</t>
  </si>
  <si>
    <t>代码可维护性差（"能跑就行"）</t>
  </si>
  <si>
    <t>AI 生成代码风格漂移、重复代码多、命名不一致；单人赶进度优先 Copy-Paste 而非抽象；无重构节奏</t>
  </si>
  <si>
    <t>维护代码，也需要依赖AI来处理</t>
  </si>
  <si>
    <t xml:space="preserve">每周固定半天"还债时间"只做重构；用 AI 反向生成模块 README 与调用图；关键模块保持 &lt;300 行  </t>
  </si>
  <si>
    <t>债只会减缓不会消失</t>
  </si>
  <si>
    <t>自己看不懂代码</t>
  </si>
  <si>
    <t>C 进度与估算</t>
  </si>
  <si>
    <t>串行关键路径，无并行冗余</t>
  </si>
  <si>
    <t>团队版 5 人并行的 P1 被压成 1 人串行 3 周。任一环节阻塞（资源未交付、CC 账号未开、UC 权限异常），全线停摆，无人可切换到其他任务分支。</t>
  </si>
  <si>
    <t>P0~P4</t>
  </si>
  <si>
    <t>外部依赖（CC 只读账号、平台资源交付、UAT 排期、审批）为物理时间，两版相同但单人版无并行缓冲。单项延期 2 周即消耗 2/3 缓冲。</t>
  </si>
  <si>
    <t>P0 W1 立即启动周期最长的 CC 账号与白名单申请；外部依赖前置。</t>
  </si>
  <si>
    <t>① 4 项外部依赖各指定责任人与承诺日期（CC 账号、平台资源、UAT 排期、审批窗口）；② 阻塞超 3 天可直接升级至管理层。</t>
  </si>
  <si>
    <t>任一外部依赖超出承诺日期 3 天以上。</t>
  </si>
  <si>
    <t>缓冲吸收能力有限</t>
  </si>
  <si>
    <t>P6 预留 3 周缓冲（占 17%），需同时覆盖全量迁移、UAT、审批、遗留 Bug、技术债五类不确定性。</t>
  </si>
  <si>
    <t>P6（W18~W20）</t>
  </si>
  <si>
    <t>缓冲仅能吸收一类中等延期。若全量迁移 +1 周、UAT +1 周、审批 +1 周同时发生（各自概率均不低），缓冲即被穿透，工期外溢。</t>
  </si>
  <si>
    <t>中</t>
  </si>
  <si>
    <t>缓冲不预先占用；P3 起每周跟踪缓冲余量。</t>
  </si>
  <si>
    <t>① 明确缓冲穿透后的处理预案（延期 or 缩减 P5 文档范围）；② 缓冲消耗报告纳入周报。</t>
  </si>
  <si>
    <t>W14 前已消耗缓冲超过 1 周。</t>
  </si>
  <si>
    <t>疲劳累积与效率衰减</t>
  </si>
  <si>
    <t>20 周（4.5 个月）单人高强度无轮换。P4 上线压力期与 P5 文档枯燥期连续叠加 6 周，无人分担。</t>
  </si>
  <si>
    <t>P4~P6</t>
  </si>
  <si>
    <t>后期效率衰减难以避免，文档阶段（P5）尤易拖延；一旦 P5 拖延，直接侵占 P6 缓冲。</t>
  </si>
  <si>
    <t>P5 文档以 AI 从代码 / git 记录反生成为主，降低人工负荷。</t>
  </si>
  <si>
    <t>① 认可 P4→P5 之间安排 2~3 天恢复期（已含在 20 周内则需明示）；② 不在 P5 期间追加新需求。</t>
  </si>
  <si>
    <t>P5 单周文档产出低于计划的 60%。</t>
  </si>
  <si>
    <t>D 合规与文档</t>
  </si>
  <si>
    <t>文档后置，与 SLC「设计先行」存在偏离</t>
  </si>
  <si>
    <t>架构图、详细设计、数据字典、手册集中在 P5（W15~W17）产出，即上线（W14）之后。SLC 通常要求设计文档先于开发。</t>
  </si>
  <si>
    <t>P5，审批环节暴露</t>
  </si>
  <si>
    <t>若审批方要求「设计文档需先于开发存在」，后补文档存在形式合规瑕疵，可能被要求重新走评审，风险 1~2 周；最坏情形影响 Go-Live 签字。</t>
  </si>
  <si>
    <t>开发期以 ADR + git 提交记录留痕，供 P5 反生成；接口文档由 OpenAPI 自动导出。</t>
  </si>
  <si>
    <t>① 「先交付后补文档」的流程偏离需取得书面批准（waiver）；② 或确认 ADR 轻量留痕可作为设计先行的替代证据。</t>
  </si>
  <si>
    <t>审批方或审计提出文档时间戳晚于代码的质疑。</t>
  </si>
  <si>
    <t>记忆衰减导致文档与实现脱节</t>
  </si>
  <si>
    <t>P1 的实现细节到 P5 已相隔 10~12 周，靠 git 历史与 AI 反生成还原，细节与决策理由（为何这样设计）易失真。</t>
  </si>
  <si>
    <t>P5</t>
  </si>
  <si>
    <t>设计文档与实际实现不一致，转维与后续审计中成为返工点；预估 P5 需额外 2~4 人天做一致性核对。</t>
  </si>
  <si>
    <t>开发期强制写 ADR（决策 + 理由 + 备选方案）；提交信息规范化。</t>
  </si>
  <si>
    <t>① 认可 P5 文档为「实现文档」而非「设计文档」的定性差异；② 若需真设计文档，需追加工期。</t>
  </si>
  <si>
    <t>P5 反生成产出中出现与代码不符的描述。</t>
  </si>
  <si>
    <t>阶段</t>
  </si>
  <si>
    <t>功能模块</t>
  </si>
  <si>
    <t>业务场景</t>
  </si>
  <si>
    <t>关键功能</t>
  </si>
  <si>
    <t>具体功能</t>
  </si>
  <si>
    <t>功能描述</t>
  </si>
  <si>
    <t>Phase1：基础归档与查询</t>
  </si>
  <si>
    <t>模块 1：存量历史数据迁移与标准化</t>
  </si>
  <si>
    <t>退役系统历史数据全量入库归档</t>
  </si>
  <si>
    <t>历史数据批量导入</t>
  </si>
  <si>
    <t>结构化历史数据批量导入</t>
  </si>
  <si>
    <t>支持从退役系统批量提取结构化历史数据，并按照既定迁移范围和映射规则导入RIMS。</t>
  </si>
  <si>
    <t>非结构化文件及离线包批量导入</t>
  </si>
  <si>
    <t>支持从多种文件来源和离线介质批量导入附件、普通文件、数据库备份包及压缩归档包，并保障大文件及传输中断场景下的可靠导入、原始属性保留和文件包解析。</t>
  </si>
  <si>
    <t>迁移规则配置</t>
  </si>
  <si>
    <t>数据导入规则配置</t>
  </si>
  <si>
    <t>面向退役系统迁移项目，配置源数据与RIMS标准字段的对应关系、格式转换和校验规则，并在导入过程中执行。</t>
  </si>
  <si>
    <t>确保迁移过程数据完整可追溯</t>
  </si>
  <si>
    <t>迁移完整性校验</t>
  </si>
  <si>
    <t>迁移前完整性基准记录</t>
  </si>
  <si>
    <t>在迁移前记录文件或数据集的完整性校验信息，作为迁移完成后的比对基准。</t>
  </si>
  <si>
    <t>迁移后完整性比对</t>
  </si>
  <si>
    <t>迁移完成后对源端与目标端数据进行完整性比对，识别缺失、损坏或异常变更。</t>
  </si>
  <si>
    <t>模块 4：数据存储与境内数据安全管控</t>
  </si>
  <si>
    <t>满足数据不出境和本地化合规要求</t>
  </si>
  <si>
    <t>数据加密与密钥管理</t>
  </si>
  <si>
    <t>数据加密存储</t>
  </si>
  <si>
    <t>支持归档数据在存储和传输过程中的加密保护，防止未授权读取和数据泄露。</t>
  </si>
  <si>
    <t>密钥管理</t>
  </si>
  <si>
    <t>支持加密密钥的创建、保管、更新、权限控制和操作审计。</t>
  </si>
  <si>
    <t>模块 5：档案检索、智能发现与业务利用</t>
  </si>
  <si>
    <t>QA/IT人员日常基础数据查阅</t>
  </si>
  <si>
    <t>基础档案检索</t>
  </si>
  <si>
    <t>关键词检索</t>
  </si>
  <si>
    <t>支持对归档记录标题、元数据、OCR文本进行关键词检索。</t>
  </si>
  <si>
    <t>按系统名称检索</t>
  </si>
  <si>
    <t>支持按来源系统名称筛选和检索对应归档数据。</t>
  </si>
  <si>
    <t>按业务时间检索</t>
  </si>
  <si>
    <t>支持按创建时间、修改时间、业务发生时间等时间维度检索。</t>
  </si>
  <si>
    <t>检索结果展示与预览</t>
  </si>
  <si>
    <t>检索结果列表展示</t>
  </si>
  <si>
    <t>以列表形式展示检索结果，支持结果分批查看、排序和关键字段展示。</t>
  </si>
  <si>
    <t>原始文件在线预览</t>
  </si>
  <si>
    <t>支持常见文档、图片及办公文件在线预览，无需下载即可查看内容。</t>
  </si>
  <si>
    <t>模块 6：合规管控、审计追踪与合规报表</t>
  </si>
  <si>
    <t>基础运维核查与简易审计调取</t>
  </si>
  <si>
    <t>用户操作审计追踪</t>
  </si>
  <si>
    <t>归档操作日志记录</t>
  </si>
  <si>
    <t>记录数据导入、上传、归档等操作，包含用户、时间、对象、结果。</t>
  </si>
  <si>
    <t>查询操作日志记录</t>
  </si>
  <si>
    <t>记录用户的检索、查看、预览行为，支持审计追溯。</t>
  </si>
  <si>
    <t>导出操作日志记录</t>
  </si>
  <si>
    <t>记录数据导出行为，包含导出范围、导出时间、导出人和下载IP。</t>
  </si>
  <si>
    <t>模块 8：系统全局治理、运维与监控</t>
  </si>
  <si>
    <t>用户与角色管理</t>
  </si>
  <si>
    <t>基础角色权限配置</t>
  </si>
  <si>
    <t>配置管理员、查询员、审计员等基础角色，并按角色统一分配菜单权限、数据范围、记录类型和操作权限。</t>
  </si>
  <si>
    <t>用户账号管理</t>
  </si>
  <si>
    <t>支持本地账号创建、启用/禁用、密码重置、账号有效期管理。</t>
  </si>
  <si>
    <t>企业用户统一身份认证与系统访问</t>
  </si>
  <si>
    <t>SSO 单点登录</t>
  </si>
  <si>
    <t>企业SSO集成</t>
  </si>
  <si>
    <t>对接企业统一身份认证体系，支持用户通过企业账号完成身份认证并登录RIMS，无需维护独立登录凭证。</t>
  </si>
  <si>
    <t>用户身份自动识别与关联</t>
  </si>
  <si>
    <t>根据企业统一身份信息识别用户，并与RIMS中的用户及角色信息建立关联，为后续权限控制提供身份基础。</t>
  </si>
  <si>
    <t>登录状态与异常访问控制</t>
  </si>
  <si>
    <t>对用户登录状态及认证异常进行基础控制，认证失效或账号不可用时限制系统访问。</t>
  </si>
  <si>
    <t>模块 2：实时数据接入与常态化数据治理</t>
  </si>
  <si>
    <t>多源异构数据接入与元数据标准化规整</t>
  </si>
  <si>
    <t>元数据标准与来源管理</t>
  </si>
  <si>
    <t>统一元数据模型</t>
  </si>
  <si>
    <t>建立统一元数据字段体系，明确字段定义、数据类型、取值规则和必填要求，包括来源系统、业务域、记录类型、创建时间、责任人、保留等级和密级等。</t>
  </si>
  <si>
    <t>来源系统信息绑定</t>
  </si>
  <si>
    <t>在记录接入和入库时引用统一源系统编码，并绑定退役项目、迁移批次等来源属性，支持按来源检索和统计。</t>
  </si>
  <si>
    <t>模块 3：记录归档与档案全生命周期管理</t>
  </si>
  <si>
    <t>归档记录定期删除与合规保留</t>
  </si>
  <si>
    <t>到期处置与Legal Hold管理</t>
  </si>
  <si>
    <t>保留期限到期自动删除</t>
  </si>
  <si>
    <t>根据预设保留策略，对到期归档记录执行自动删除或标记销毁。</t>
  </si>
  <si>
    <t>Legal Hold 冻结</t>
  </si>
  <si>
    <t>对涉诉、审计或合规调查中的记录设置Legal Hold，暂停删除和修改。</t>
  </si>
  <si>
    <t>确保归档数据可恢复</t>
  </si>
  <si>
    <t>数据备份与灾难恢复</t>
  </si>
  <si>
    <t>数据备份管理</t>
  </si>
  <si>
    <t>支持按照备份策略创建和维护归档数据副本，确保数据副本完整、可用并满足恢复需求。</t>
  </si>
  <si>
    <t>异地灾备</t>
  </si>
  <si>
    <t>支持将数据副本与主要运行环境隔离保存，保障区域性灾害或重大故障情况下的数据恢复。</t>
  </si>
  <si>
    <t>APP ID</t>
  </si>
  <si>
    <t>CA254</t>
  </si>
  <si>
    <t>APP Name</t>
  </si>
  <si>
    <t>China RIMS</t>
  </si>
  <si>
    <t>Applicant Input</t>
  </si>
  <si>
    <t>Type</t>
  </si>
  <si>
    <t>Resource Type</t>
  </si>
  <si>
    <t>Enviroment</t>
  </si>
  <si>
    <t>Usage (Server Role)</t>
  </si>
  <si>
    <t>Resource Exist</t>
  </si>
  <si>
    <t>Upgrade SKU</t>
  </si>
  <si>
    <t>oneabbott domain</t>
  </si>
  <si>
    <t>VM Backup Time</t>
  </si>
  <si>
    <t>Resource Effective Start</t>
  </si>
  <si>
    <t>Resource Effective End</t>
  </si>
  <si>
    <t>Kubernetes</t>
  </si>
  <si>
    <t>Kubernate</t>
  </si>
  <si>
    <t>Production</t>
  </si>
  <si>
    <t>AKS</t>
  </si>
  <si>
    <t>No</t>
  </si>
  <si>
    <t>Load Balancer</t>
  </si>
  <si>
    <t>Kubernetes Ingress Endpoint</t>
  </si>
  <si>
    <t>Standard sku, Regional tier, 5 default rule, 1 TB Data process</t>
  </si>
  <si>
    <t xml:space="preserve">	Kubernetes Outbound Endpoint</t>
  </si>
  <si>
    <t>Standard sku, Regional tier, 5 default rule, 100 GB Data process</t>
  </si>
  <si>
    <t>Public IP</t>
  </si>
  <si>
    <t xml:space="preserve">	Kubernetes Outbound Public IP</t>
  </si>
  <si>
    <t>Standard sku, Regional tier, Static, 100 GB outbound traffic</t>
  </si>
  <si>
    <t xml:space="preserve">Kubernate集群VM 01	</t>
  </si>
  <si>
    <t>Standard D4s v3 (4vCore, 32GB)</t>
  </si>
  <si>
    <t>Managed Disk</t>
  </si>
  <si>
    <t>Kubernate集群VM 01 - 磁盘</t>
  </si>
  <si>
    <t>P6 64GB</t>
  </si>
  <si>
    <t>Kubernate集群VM 02</t>
  </si>
  <si>
    <t>Kubernate集群VM 02 - 磁盘</t>
  </si>
  <si>
    <t>Azure SQLServer</t>
  </si>
  <si>
    <t>database for storing structured data，保存元数据</t>
  </si>
  <si>
    <t>4C 100G</t>
  </si>
  <si>
    <t>Azure Redis</t>
  </si>
  <si>
    <t>Redis</t>
  </si>
  <si>
    <t>database for storing cache data</t>
  </si>
  <si>
    <t>Azure Storage</t>
  </si>
  <si>
    <t>Storage Account</t>
  </si>
  <si>
    <t>存储非结构化数据</t>
  </si>
  <si>
    <t>ADSL Gen2</t>
  </si>
  <si>
    <t>存储结构化数据</t>
  </si>
  <si>
    <t>Storage Mover</t>
  </si>
  <si>
    <t>迁移非结构化数据</t>
  </si>
  <si>
    <t>Databricks</t>
  </si>
  <si>
    <t>Databricks  Servless SQL Warehouse
Databricks  Servless Jobs</t>
  </si>
  <si>
    <t>ETL &amp;　数据查询</t>
  </si>
  <si>
    <t>Preminum</t>
  </si>
  <si>
    <t>VM Windows</t>
  </si>
  <si>
    <t>跳板机</t>
  </si>
  <si>
    <t>Standard B2MS(2core 8G), E10(128 GB SSD) OS disk</t>
  </si>
  <si>
    <t>Azure Key Vault</t>
  </si>
  <si>
    <t>Key Vault</t>
  </si>
  <si>
    <t>store the cryptographic keys</t>
  </si>
  <si>
    <t>Azure Application Insight</t>
  </si>
  <si>
    <t>Application Insight</t>
  </si>
  <si>
    <t xml:space="preserve"> </t>
  </si>
  <si>
    <t>角色</t>
  </si>
  <si>
    <t>角色名称</t>
  </si>
  <si>
    <t>核心职责</t>
  </si>
  <si>
    <t>技能要求</t>
  </si>
  <si>
    <t>工作量占比</t>
  </si>
  <si>
    <t>人天（12 周）</t>
  </si>
  <si>
    <t>单价</t>
  </si>
  <si>
    <t>人力费用</t>
  </si>
  <si>
    <t>关键产出物</t>
  </si>
  <si>
    <t>备注</t>
  </si>
  <si>
    <t>负责人</t>
  </si>
  <si>
    <t>BA/测试/文档</t>
  </si>
  <si>
    <t>业务分析师 + 测试 + 文档（1 人·三职切换）</t>
  </si>
  <si>
    <t>需求：访谈 / SRS / 原型 / 优先级；测试：测试计划与用例 / 系统测试 / UAT 组织 / 缺陷管理；文档：SLC 全周期（需求规格 / 用户手册 / 操作手册 / 上线材料）；测试数据管理：CC（Caring Center）作为验证系统的测试数据准备与场景设计</t>
  </si>
  <si>
    <t>需求分析 / 业务流程建模 / 用户故事</t>
  </si>
  <si>
    <t>BRD、用户故事地图、验收标准、UAT 场景脚本、需求变更记录</t>
  </si>
  <si>
    <t>W1~W2 密集；之后 Sprint 级澄清与验收</t>
  </si>
  <si>
    <t>BA/QA</t>
  </si>
  <si>
    <t>DEV-A</t>
  </si>
  <si>
    <t>开发 A：主架构 + 前端，兼后端（1 人）</t>
  </si>
  <si>
    <t>架构：总体架构 / Azure 资源对接验收 / UC 权限模型 / 技术决策；前端：React 配置化平台全部界面；兼后端：用户角色 / SSO / 审计等偏应用侧 API；CI/CD 流水线搭建</t>
  </si>
  <si>
    <t>Databricks / Azure 网络 / .NET 或 React / 系统设计</t>
  </si>
  <si>
    <t>架构文档、Azure 部署脚本、RBAC 权限矩阵与 API、UC 授权/掩码/行级隔离、冷热分层与生命周期策略、SERVE 物化与 Compaction、附件预览/JOIN 渲染/Retention 界面</t>
  </si>
  <si>
    <t>W1~W3 架构为主；W4 起开发为主</t>
  </si>
  <si>
    <t>Wade</t>
  </si>
  <si>
    <t>DEV-B</t>
  </si>
  <si>
    <t>开发 B：主后端 + 数据开发，兼前端（1 人）</t>
  </si>
  <si>
    <t>后端：元数据 / 附件 / 调度等服务 API；数据：SeaTunnel 批量导入与生成器 / 四层转换 / 完整性校验 / 增量与处置作业；兼前端：迁移任务/处置等偏数据操作的界面；CC 迁移演练与生产迁移主责</t>
  </si>
  <si>
    <t>Databricks/ .NET / React / SQL</t>
  </si>
  <si>
    <t>ETL 生成器、四层 SQL、销毁作业、对账脚本、性能报告</t>
  </si>
  <si>
    <t>核心开发，代码量最大</t>
  </si>
  <si>
    <t>DevB</t>
  </si>
  <si>
    <t>PM</t>
  </si>
  <si>
    <t>项目管理</t>
  </si>
  <si>
    <t>会议：约会Review
状态：进度管理
风险管理</t>
  </si>
  <si>
    <t>PMP</t>
  </si>
  <si>
    <t>项目管理文档
会议记录</t>
  </si>
  <si>
    <t>主要是track任务</t>
  </si>
  <si>
    <t>Mark</t>
  </si>
  <si>
    <t>合计</t>
  </si>
  <si>
    <t>需求+Spec</t>
  </si>
  <si>
    <t>架构+设计</t>
  </si>
  <si>
    <t>编码</t>
  </si>
  <si>
    <t>测试</t>
  </si>
  <si>
    <t>交付+PM</t>
  </si>
  <si>
    <t>功能拆解估算</t>
  </si>
  <si>
    <t>子任务编号</t>
  </si>
  <si>
    <t>模块</t>
  </si>
  <si>
    <t>功能/组名称</t>
  </si>
  <si>
    <t>子任务/工作包</t>
  </si>
  <si>
    <t>工作内容要点</t>
  </si>
  <si>
    <t>BA人天</t>
  </si>
  <si>
    <t>开发A·Wade</t>
  </si>
  <si>
    <t>开发B·DevB</t>
  </si>
  <si>
    <t>测试人天</t>
  </si>
  <si>
    <t>SLC人天（按功能）</t>
  </si>
  <si>
    <t>小计</t>
  </si>
  <si>
    <t>功能/组小计</t>
  </si>
  <si>
    <t>F01-01-1</t>
  </si>
  <si>
    <t>模块1·存量历史数据迁移与标准化</t>
  </si>
  <si>
    <t>原系统基本信息录入</t>
  </si>
  <si>
    <t>来源系统档案：系统编码/名称/业务域/责任人/退役批次；录入与维护界面+存储API</t>
  </si>
  <si>
    <t>F01-01-2</t>
  </si>
  <si>
    <t>源库DB连接配置</t>
  </si>
  <si>
    <t>DB类型/连接串录入，账号密码Key Vault加密存储，连通性测试</t>
  </si>
  <si>
    <t>F01-01-3</t>
  </si>
  <si>
    <t>同步表勾选</t>
  </si>
  <si>
    <t>拉取源表清单、勾选同步范围、数据量预估与全选过滤</t>
  </si>
  <si>
    <t>F01-01-4</t>
  </si>
  <si>
    <t>保留期限与迁移参数配置</t>
  </si>
  <si>
    <t>保留策略绑定、迁移批次命名、并发/限速参数</t>
  </si>
  <si>
    <t>F01-01-5</t>
  </si>
  <si>
    <t>存储落地实现（Iceberg/UC）</t>
  </si>
  <si>
    <t>磁盘目录布局、Iceberg表属性与分区策略、UC目录/Schema/授权配置化</t>
  </si>
  <si>
    <t>F01-01-6</t>
  </si>
  <si>
    <t>SeaTunnel批量导入作业</t>
  </si>
  <si>
    <t>作业配置生成器、分片/断点续传/限速执行</t>
  </si>
  <si>
    <t>F01-01-7</t>
  </si>
  <si>
    <t>导入执行与监控</t>
  </si>
  <si>
    <t>任务状态/进度/失败重试/日志查看</t>
  </si>
  <si>
    <t>F01-02-1</t>
  </si>
  <si>
    <t>文件来源登记与上传通道</t>
  </si>
  <si>
    <t>在线上传/共享路径挂载/离线介质登记</t>
  </si>
  <si>
    <t>F01-02-2</t>
  </si>
  <si>
    <t>大文件分片上传与断点续传</t>
  </si>
  <si>
    <t>前端分片上传、后端合并与校验</t>
  </si>
  <si>
    <t>F01-02-3</t>
  </si>
  <si>
    <t>文件包解析</t>
  </si>
  <si>
    <t>zip/tar/数据库备份包识别与展开、原始属性保留</t>
  </si>
  <si>
    <t>F01-02-4</t>
  </si>
  <si>
    <t>附件元数据与Blob存储布局</t>
  </si>
  <si>
    <t>附件索引表、路径规范、与结构化记录关联</t>
  </si>
  <si>
    <t>F01-03-1</t>
  </si>
  <si>
    <t>字段映射规则配置</t>
  </si>
  <si>
    <t>源字段→标准字段映射界面、自动映射建议</t>
  </si>
  <si>
    <t>F01-03-2</t>
  </si>
  <si>
    <t>格式转换与清洗规则</t>
  </si>
  <si>
    <t>类型转换/编码/默认值/脏数据处理策略</t>
  </si>
  <si>
    <t>F01-03-3</t>
  </si>
  <si>
    <t>校验规则配置</t>
  </si>
  <si>
    <t>必填/唯一/范围/自定义表达式校验</t>
  </si>
  <si>
    <t>F01-03-4</t>
  </si>
  <si>
    <t>规则版本与试跑预览</t>
  </si>
  <si>
    <t>规则版本管理、样本试跑与结果预览</t>
  </si>
  <si>
    <t>F01-04-1</t>
  </si>
  <si>
    <t>基准采集策略定义</t>
  </si>
  <si>
    <t>行数/校验和/SHA-256抽样口径</t>
  </si>
  <si>
    <t>F01-04-2</t>
  </si>
  <si>
    <t>基准采集作业与存储</t>
  </si>
  <si>
    <t>源端基准快照生成、基准库表</t>
  </si>
  <si>
    <t>F01-04-3</t>
  </si>
  <si>
    <t>基准报告查询展示</t>
  </si>
  <si>
    <t>基准结果展示与导出</t>
  </si>
  <si>
    <t>F01-05-1</t>
  </si>
  <si>
    <t>比对引擎</t>
  </si>
  <si>
    <t>RAW/CURATED逐层行数与校验和比对、抽样SHA-256</t>
  </si>
  <si>
    <t>F01-05-2</t>
  </si>
  <si>
    <t>差异报告与处理流程</t>
  </si>
  <si>
    <t>差异清单、重迁/豁免记录</t>
  </si>
  <si>
    <t>F02-01-1</t>
  </si>
  <si>
    <t>模块2·实时数据接入与常态化数据治理</t>
  </si>
  <si>
    <t>元数据字段体系定义</t>
  </si>
  <si>
    <t>字段/类型/必填/密级/保留等级字典</t>
  </si>
  <si>
    <t>F02-01-2</t>
  </si>
  <si>
    <t>元数据核心表与API</t>
  </si>
  <si>
    <t>核心元数据表实现、CRUD API、Migration</t>
  </si>
  <si>
    <t>F02-01-3</t>
  </si>
  <si>
    <t>元数据驱动配置机制</t>
  </si>
  <si>
    <t>查询配置模型、动态表单渲染协议</t>
  </si>
  <si>
    <t>F02-02-1</t>
  </si>
  <si>
    <t>绑定规则与批次属性</t>
  </si>
  <si>
    <t>源编码引用、退役项目/迁移批次属性规则</t>
  </si>
  <si>
    <t>F02-02-2</t>
  </si>
  <si>
    <t>接入时自动绑定</t>
  </si>
  <si>
    <t>导入/上传时来源属性自动写入与校验</t>
  </si>
  <si>
    <t>F02-02-3</t>
  </si>
  <si>
    <t>按来源检索与统计</t>
  </si>
  <si>
    <t>来源维度筛选、统计报表</t>
  </si>
  <si>
    <t>F03-01-1</t>
  </si>
  <si>
    <t>模块3·记录归档与档案全生命周期管理</t>
  </si>
  <si>
    <t>保留策略配置</t>
  </si>
  <si>
    <t>策略规则、继承关系、生效范围</t>
  </si>
  <si>
    <t>F03-01-2</t>
  </si>
  <si>
    <t>处置引擎</t>
  </si>
  <si>
    <t>到期扫描、豁免检查、DROP PARTITION、VACUUM物理清除</t>
  </si>
  <si>
    <t>F03-01-3</t>
  </si>
  <si>
    <t>处置计划审批与台账</t>
  </si>
  <si>
    <t>预演清单、审批流、处置留痕台账</t>
  </si>
  <si>
    <t>F03-02-1</t>
  </si>
  <si>
    <t>Hold申请与审批流程</t>
  </si>
  <si>
    <t>涉诉/审计/调查场景、审批链定义</t>
  </si>
  <si>
    <t>F03-02-2</t>
  </si>
  <si>
    <t>Hold生效与解除实现</t>
  </si>
  <si>
    <t>记录级/表级冻结、处置豁免、操作留痕</t>
  </si>
  <si>
    <t>F03-02-3</t>
  </si>
  <si>
    <t>Hold清单管理与提醒</t>
  </si>
  <si>
    <t>在Hold清单、解除预警</t>
  </si>
  <si>
    <t>F04-01-1</t>
  </si>
  <si>
    <t>模块4·数据存储与境内数据安全管控</t>
  </si>
  <si>
    <t>加密策略定义</t>
  </si>
  <si>
    <t>SSE+CMK方案、PII字段清单与字段级加密规则</t>
  </si>
  <si>
    <t>F04-01-2</t>
  </si>
  <si>
    <t>存储层加密落地【原生】</t>
  </si>
  <si>
    <t>ADLS SSE+CMK为存储账户原生选项：启用/托管密钥绑定/轮换/传输加密验证（配置为主）</t>
  </si>
  <si>
    <t>F04-01-3</t>
  </si>
  <si>
    <t>PII字段级加密服务</t>
  </si>
  <si>
    <t>应用层加解密、密文索引策略、传输加密验证</t>
  </si>
  <si>
    <t>F04-02-1</t>
  </si>
  <si>
    <t>密钥全流程管理【原生】</t>
  </si>
  <si>
    <t>Key Vault原生服务：创建/保管/轮换/吊销/权限=Key Vault+RBAC配置；开发仅应用侧Managed Identity集成与密钥引用</t>
  </si>
  <si>
    <t>F04-02-2</t>
  </si>
  <si>
    <t>密钥操作审计与告警【原生】</t>
  </si>
  <si>
    <t>Key Vault诊断日志+Azure Monitor原生告警，开发仅对接审计页</t>
  </si>
  <si>
    <t>F04-02-3</t>
  </si>
  <si>
    <t>密钥状态展示（不自研管理界面）【原生】</t>
  </si>
  <si>
    <t>密钥操作走Azure门户/CLI+RBAC，不自研管理界面；系统内仅密钥状态只读展示</t>
  </si>
  <si>
    <t>F04-03-1</t>
  </si>
  <si>
    <t>备份策略配置</t>
  </si>
  <si>
    <t>备份周期/范围/保留期策略</t>
  </si>
  <si>
    <t>F04-03-2</t>
  </si>
  <si>
    <t>备份作业与副本创建【原生】</t>
  </si>
  <si>
    <t>SQL DB PITR/ADLS生命周期与副本均为原生策略：仅策略配置与脚本化启用</t>
  </si>
  <si>
    <t>F04-03-3</t>
  </si>
  <si>
    <t>备份监控与恢复操作【原生】</t>
  </si>
  <si>
    <t>Azure Monitor原生备份告警+恢复流程验证演练</t>
  </si>
  <si>
    <t>F05-01-1</t>
  </si>
  <si>
    <t>模块5·档案检索、智能发现与业务利用</t>
  </si>
  <si>
    <t>检索配置模型</t>
  </si>
  <si>
    <t>可检索字段、分词策略、OCR文本索引策略</t>
  </si>
  <si>
    <t>F05-01-2</t>
  </si>
  <si>
    <t>检索页动态表单</t>
  </si>
  <si>
    <t>元数据驱动渲染、关键词与组合查询</t>
  </si>
  <si>
    <t>F05-01-3</t>
  </si>
  <si>
    <t>查询代理与SERVE层对接</t>
  </si>
  <si>
    <t>查询服务、索引优化、结果高亮</t>
  </si>
  <si>
    <t>F05-02-1</t>
  </si>
  <si>
    <t>来源系统筛选组件</t>
  </si>
  <si>
    <t>来源系统下拉/搜索/多选</t>
  </si>
  <si>
    <t>F05-02-2</t>
  </si>
  <si>
    <t>来源维度查询下推</t>
  </si>
  <si>
    <t>sys_id过滤、分区裁剪</t>
  </si>
  <si>
    <t>F05-03-1</t>
  </si>
  <si>
    <t>时间维度筛选组件</t>
  </si>
  <si>
    <t>创建/修改/业务发生时间范围选择</t>
  </si>
  <si>
    <t>F05-03-2</t>
  </si>
  <si>
    <t>时间分区下推与索引</t>
  </si>
  <si>
    <t>分区裁剪、时间索引优化</t>
  </si>
  <si>
    <t>F05-04-1</t>
  </si>
  <si>
    <t>列表展示与分页排序</t>
  </si>
  <si>
    <t>关键字段展示、分批加载、虚拟滚动</t>
  </si>
  <si>
    <t>F05-04-2</t>
  </si>
  <si>
    <t>大批量结果性能</t>
  </si>
  <si>
    <t>异步计数、游标分页、缓存</t>
  </si>
  <si>
    <t>F05-05-1</t>
  </si>
  <si>
    <t>预览服务</t>
  </si>
  <si>
    <t>格式识别、图片/PDF/Office转换</t>
  </si>
  <si>
    <t>F05-05-2</t>
  </si>
  <si>
    <t>SAS直连与流式加载</t>
  </si>
  <si>
    <t>临时SAS链接、流式传输、权限校验</t>
  </si>
  <si>
    <t>F05-05-3</t>
  </si>
  <si>
    <t>前端预览组件</t>
  </si>
  <si>
    <t>格式适配、缩放、失败降级下载</t>
  </si>
  <si>
    <t>F06-01-1</t>
  </si>
  <si>
    <t>模块6·合规管控、审计追踪与合规报表</t>
  </si>
  <si>
    <t>埋点规范与日志模型</t>
  </si>
  <si>
    <t>操作对象/用户/时间/结果/IP模型定义</t>
  </si>
  <si>
    <t>F06-01-2</t>
  </si>
  <si>
    <t>操作拦截与落库</t>
  </si>
  <si>
    <t>归档/导入/上传统一拦截器、异步写入</t>
  </si>
  <si>
    <t>F06-01-3</t>
  </si>
  <si>
    <t>审计查询界面</t>
  </si>
  <si>
    <t>多维筛选与导出（覆盖归档/查询/导出三类日志）</t>
  </si>
  <si>
    <t>F06-02-1</t>
  </si>
  <si>
    <t>查询/预览行为埋点</t>
  </si>
  <si>
    <t>查询条件脱敏记录、预览行为记录</t>
  </si>
  <si>
    <t>F06-02-2</t>
  </si>
  <si>
    <t>异步批量写入</t>
  </si>
  <si>
    <t>缓冲批量写入、不阻塞查询主链路</t>
  </si>
  <si>
    <t>F06-03-1</t>
  </si>
  <si>
    <t>导出行为审计</t>
  </si>
  <si>
    <t>导出范围/条数/导出人/IP/下载链接追踪</t>
  </si>
  <si>
    <t>F06-03-2</t>
  </si>
  <si>
    <t>大批量导出告警</t>
  </si>
  <si>
    <t>阈值告警、审批联动</t>
  </si>
  <si>
    <t>F08-01-1</t>
  </si>
  <si>
    <t>模块8·系统全局治理、运维与监控</t>
  </si>
  <si>
    <t>RBAC模型与权限矩阵</t>
  </si>
  <si>
    <t>角色/菜单/数据范围/记录类型/操作权限定义</t>
  </si>
  <si>
    <t>F08-01-2</t>
  </si>
  <si>
    <t>角色管理界面与API</t>
  </si>
  <si>
    <t>角色CRUD、权限分配界面与接口</t>
  </si>
  <si>
    <t>F08-01-3</t>
  </si>
  <si>
    <t>权限校验与UC授权映射</t>
  </si>
  <si>
    <t>菜单/接口级校验中间件、UC权限同步</t>
  </si>
  <si>
    <t>F08-02-1</t>
  </si>
  <si>
    <t>账号CRUD与生命周期</t>
  </si>
  <si>
    <t>创建/启用禁用/密码重置/有效期</t>
  </si>
  <si>
    <t>F08-02-2</t>
  </si>
  <si>
    <t>账号与角色绑定</t>
  </si>
  <si>
    <t>分配、批量操作、人员交接</t>
  </si>
  <si>
    <t>F08-03-1</t>
  </si>
  <si>
    <t>Entra ID对接配置【原生】</t>
  </si>
  <si>
    <t>应用注册/回调/claims为Entra控制台配置，开发仅环境参数化</t>
  </si>
  <si>
    <t>F08-03-2</t>
  </si>
  <si>
    <t>SSO登录链路【中间件】</t>
  </si>
  <si>
    <t>MSAL/OIDC标准库承载认证流，自研仅登录页/会话与定制逻辑</t>
  </si>
  <si>
    <t>F08-03-3</t>
  </si>
  <si>
    <t>认证异常场景处理</t>
  </si>
  <si>
    <t>认证失败、账号锁定、多账号冲突</t>
  </si>
  <si>
    <t>F08-04-1</t>
  </si>
  <si>
    <t>身份映射规则</t>
  </si>
  <si>
    <t>企业账号↔RIMS用户映射、自动建号规则</t>
  </si>
  <si>
    <t>F08-04-2</t>
  </si>
  <si>
    <t>首登自动关联与角色赋予</t>
  </si>
  <si>
    <t>默认角色、待分配队列</t>
  </si>
  <si>
    <t>F08-05-1</t>
  </si>
  <si>
    <t>会话与超时策略</t>
  </si>
  <si>
    <t>超时控制、登出、单点登出</t>
  </si>
  <si>
    <t>F08-05-2</t>
  </si>
  <si>
    <t>异常访问控制</t>
  </si>
  <si>
    <t>账号锁定、认证失效限制访问、IP策略</t>
  </si>
  <si>
    <t>N1-1</t>
  </si>
  <si>
    <t>非功能与工程支撑</t>
  </si>
  <si>
    <t>工程初始化与开发基座</t>
  </si>
  <si>
    <t>项目初始化</t>
  </si>
  <si>
    <t>代码仓库/分支策略/开发环境统一/AI工具账号开通</t>
  </si>
  <si>
    <t>N1-2</t>
  </si>
  <si>
    <t>前端工程初始化</t>
  </si>
  <si>
    <t>React骨架/路由/布局/组件库/状态管理/构建链</t>
  </si>
  <si>
    <t>N1-3</t>
  </si>
  <si>
    <t>后端工程初始化</t>
  </si>
  <si>
    <t>.NET Clean Architecture/EF Core/Docker Compose本地环境</t>
  </si>
  <si>
    <t>N1-4</t>
  </si>
  <si>
    <t>AI开发工具链与编码规范</t>
  </si>
  <si>
    <t>提示词模板库/人机协作规约/ADR规范</t>
  </si>
  <si>
    <t>N1-5</t>
  </si>
  <si>
    <t>四道安全门禁CI/CD</t>
  </si>
  <si>
    <t>构建/镜像/SAST·依赖·密钥扫描/越权用例门禁，流水线落地与拦截演示</t>
  </si>
  <si>
    <t>N2-1</t>
  </si>
  <si>
    <t>代码质量与静态扫描治理</t>
  </si>
  <si>
    <t>前端ESLint/Prettier规约</t>
  </si>
  <si>
    <t>规则集接入CI、存量告警清零、格式统一</t>
  </si>
  <si>
    <t>N2-2</t>
  </si>
  <si>
    <t>后端SonarLint规约</t>
  </si>
  <si>
    <t>代码异味/重复块/复杂度阈值治理清零</t>
  </si>
  <si>
    <t>N2-3</t>
  </si>
  <si>
    <t>SAST安全告警修复</t>
  </si>
  <si>
    <t>硬编码密钥/注入/越权路径等静态安全缺陷修复</t>
  </si>
  <si>
    <t>N2-4</t>
  </si>
  <si>
    <t>依赖漏洞治理（SCA）</t>
  </si>
  <si>
    <t>依赖版本锁定、漏洞升级、SBOM产出</t>
  </si>
  <si>
    <t>N2-5</t>
  </si>
  <si>
    <t>技术债偿还与外部评审落实</t>
  </si>
  <si>
    <t>每周固定还债窗口、关键模块重构、评审意见闭环</t>
  </si>
  <si>
    <t>N3-1</t>
  </si>
  <si>
    <t>全局非功能实现与优化</t>
  </si>
  <si>
    <t>前端性能优化</t>
  </si>
  <si>
    <t>懒加载/虚拟滚动/缓存/首屏指标（对照NFR基线）</t>
  </si>
  <si>
    <t>N3-2</t>
  </si>
  <si>
    <t>查询与数据性能</t>
  </si>
  <si>
    <t>分区裁剪/Z-Order/Compaction/小文件治理</t>
  </si>
  <si>
    <t>N3-3</t>
  </si>
  <si>
    <t>统一鉴权与数据掩码中间件</t>
  </si>
  <si>
    <t>菜单/API/行级三层校验、掩码旁路防护</t>
  </si>
  <si>
    <t>N3-4</t>
  </si>
  <si>
    <t>可观测性（日志/监控/告警）【原生】</t>
  </si>
  <si>
    <t>App Insights/Log Analytics/Azure Monitor原生：开发仅SDK插桩、作业监控对接与仪表盘</t>
  </si>
  <si>
    <t>N3-5</t>
  </si>
  <si>
    <t>容量与增长验证</t>
  </si>
  <si>
    <t>600~800表规模扩容压测与容量报告</t>
  </si>
  <si>
    <t>N4-1</t>
  </si>
  <si>
    <t>部署与运维支撑</t>
  </si>
  <si>
    <t>Azure DevOps连接K8s与CI/CD部署流水线</t>
  </si>
  <si>
    <t>Service Connection/命名空间RBAC授权、构建→镜像→部署K8s流水线（测试/生产两套）、生产环境审批门禁</t>
  </si>
  <si>
    <t>N4-2</t>
  </si>
  <si>
    <t>K8s发布清单与环境配置</t>
  </si>
  <si>
    <t>原生清单Deployment/Service/Ingress/ConfigMap+Secret（不用Helm）、测试/生产两套配置、镜像标签策略/发布Runbook</t>
  </si>
  <si>
    <t>N4-3</t>
  </si>
  <si>
    <t>测试环境先期部署</t>
  </si>
  <si>
    <t>早期先部署测试环境（供联调/集成/系统测试）、随迭代由流水线自动更新</t>
  </si>
  <si>
    <t>N4-4</t>
  </si>
  <si>
    <t>部署预演与回退预案</t>
  </si>
  <si>
    <t>预生产完整演练、回退验证</t>
  </si>
  <si>
    <t>N4-5</t>
  </si>
  <si>
    <t>上线值守与运维交接</t>
  </si>
  <si>
    <t>上线窗口值守、运维交接与培训材料</t>
  </si>
  <si>
    <t>N5-1</t>
  </si>
  <si>
    <t>开发侧文档（架构/设计/接口）</t>
  </si>
  <si>
    <t>架构与总体设计文档</t>
  </si>
  <si>
    <t>架构图/部署视图/ADR汇编成文（Wade提供）</t>
  </si>
  <si>
    <t>N5-2</t>
  </si>
  <si>
    <t>应用接口与模块设计文档</t>
  </si>
  <si>
    <t>OpenAPI导出+模块设计说明（Wade提供）</t>
  </si>
  <si>
    <t>N5-3</t>
  </si>
  <si>
    <t>数据设计与ETL/作业文档</t>
  </si>
  <si>
    <t>分层设计/数据字典/ETL与作业说明（DevB提供）</t>
  </si>
  <si>
    <t>总计</t>
  </si>
  <si>
    <t>25项功能×72子任务 + 非功能工程×23子任务（F04-04=Azure原生能力，不计开发）</t>
  </si>
  <si>
    <t>里程碑计划（M1~M7）</t>
  </si>
  <si>
    <t>里程碑</t>
  </si>
  <si>
    <t>日期</t>
  </si>
  <si>
    <t>星期</t>
  </si>
  <si>
    <t>交付物/成果</t>
  </si>
  <si>
    <t>退出条件</t>
  </si>
  <si>
    <t>M1 需求基线冻结</t>
  </si>
  <si>
    <t>2026/09/24（周四）</t>
  </si>
  <si>
    <t>SRS V1.0、基线确认单</t>
  </si>
  <si>
    <t>SRS评审通过、业务方签字；26项优先级锁定；追踪矩阵建立</t>
  </si>
  <si>
    <t>Mandy</t>
  </si>
  <si>
    <t>M2 设计评审通过+接口冻结</t>
  </si>
  <si>
    <t>2026/10/09（周五）</t>
  </si>
  <si>
    <t>架构设计文档V1.0、接口定义、数据字典v1</t>
  </si>
  <si>
    <t>设计评审（含外部架构评审#1意见闭环）通过；模块接口冻结</t>
  </si>
  <si>
    <t>M3 样本数据端到端MVP</t>
  </si>
  <si>
    <t>2026/10/23（周五）</t>
  </si>
  <si>
    <t>M3演示记录（导入→湖→检索可查）</t>
  </si>
  <si>
    <t>登录→检索→样本数据可查全链路演示通过；CI/CD四道门禁自动；用例库v1.0完成100%</t>
  </si>
  <si>
    <t>Wade+DevB</t>
  </si>
  <si>
    <t>M4 26项功能编码完成</t>
  </si>
  <si>
    <t>2026/11/13（周五）</t>
  </si>
  <si>
    <t>走查签字单、追踪矩阵26/26</t>
  </si>
  <si>
    <t>26项功能编码100%；各模块走查全部签字；无P0缺陷</t>
  </si>
  <si>
    <t>M5 代码冻结+CC演练对账通过</t>
  </si>
  <si>
    <t>2026/12/01（周二）</t>
  </si>
  <si>
    <t>全量对账报告、冻结基线、发布包</t>
  </si>
  <si>
    <t>CC迁移演练完成（600~800表，行数/校验和100%）；P0/P1缺陷清零；代码冻结</t>
  </si>
  <si>
    <t>M6 系统测试+UAT签字</t>
  </si>
  <si>
    <t>2026/12/09（周三）</t>
  </si>
  <si>
    <t>系统测试报告、UAT报告、手册V1.0</t>
  </si>
  <si>
    <t>全量测试26项+非功能指标达标（对照2.3.1基线）；业务方UAT签字；缺陷关闭或书面接受；生产就绪评审通过</t>
  </si>
  <si>
    <t>M7 生产上线·项目交付</t>
  </si>
  <si>
    <t>2026/12/16（周三）</t>
  </si>
  <si>
    <t>生产系统、终版对账报告、交付确认单</t>
  </si>
  <si>
    <t>生产部署+CC全量迁移对账通过；核心场景业务确认；交付物归档完成</t>
  </si>
  <si>
    <t>全员</t>
  </si>
  <si>
    <t>RIMS数据归档平台Phase1 · 开发WBS</t>
  </si>
  <si>
    <t>项目名称：RIMS退役系统数据归档平台·Phase1（基础归档与查询）</t>
  </si>
  <si>
    <t>WBS编号</t>
  </si>
  <si>
    <t>任务名称</t>
  </si>
  <si>
    <t>层级</t>
  </si>
  <si>
    <t>开始日期</t>
  </si>
  <si>
    <t>结束日期</t>
  </si>
  <si>
    <t>工期(天)</t>
  </si>
  <si>
    <t>工作量(人天)</t>
  </si>
  <si>
    <t>AI参与方式</t>
  </si>
  <si>
    <t>前置任务</t>
  </si>
  <si>
    <t>状态</t>
  </si>
  <si>
    <t>进度</t>
  </si>
  <si>
    <t>1</t>
  </si>
  <si>
    <t>一、工程基座与部署流水线（第1周·框架搭建）</t>
  </si>
  <si>
    <t>DevB/Mandy/Wade</t>
  </si>
  <si>
    <t>未开始</t>
  </si>
  <si>
    <t>1.1</t>
  </si>
  <si>
    <t>工程初始化与开发基座（N1）</t>
  </si>
  <si>
    <t>1.1.1</t>
  </si>
  <si>
    <t>项目初始化（测试：用例与执行）</t>
  </si>
  <si>
    <t>AI生成+人工审核</t>
  </si>
  <si>
    <t>N1_w1,N1_d1</t>
  </si>
  <si>
    <t>1.1.2</t>
  </si>
  <si>
    <t>前端工程初始化（测试：用例与执行）</t>
  </si>
  <si>
    <t>N1_w2</t>
  </si>
  <si>
    <t>1.1.3</t>
  </si>
  <si>
    <t>后端工程初始化（测试：用例与执行）</t>
  </si>
  <si>
    <t>N1_d3</t>
  </si>
  <si>
    <t>1.1.4</t>
  </si>
  <si>
    <t>四道安全门禁CI/CD（测试：用例与执行）</t>
  </si>
  <si>
    <t>N1_w5,N1_d5</t>
  </si>
  <si>
    <t>1.1.5</t>
  </si>
  <si>
    <t>SLC文档汇编（N1，按功能/组预估）</t>
  </si>
  <si>
    <t>AI辅助</t>
  </si>
  <si>
    <t>1.1.6</t>
  </si>
  <si>
    <t>项目初始化（前端/应用侧）</t>
  </si>
  <si>
    <t>1.1.7</t>
  </si>
  <si>
    <t>AI开发工具链与编码规范（前端/应用侧）</t>
  </si>
  <si>
    <t>1.1.8</t>
  </si>
  <si>
    <t>前端工程初始化（前端/应用侧）</t>
  </si>
  <si>
    <t>1.1.9</t>
  </si>
  <si>
    <t>四道安全门禁CI/CD（前端/应用侧）</t>
  </si>
  <si>
    <t>1.1.10</t>
  </si>
  <si>
    <t>项目初始化（数据/服务侧）</t>
  </si>
  <si>
    <t>1.1.11</t>
  </si>
  <si>
    <t>后端工程初始化（数据/服务侧）</t>
  </si>
  <si>
    <t>1.1.12</t>
  </si>
  <si>
    <t>AI开发工具链与编码规范（数据/服务侧）</t>
  </si>
  <si>
    <t>1.1.13</t>
  </si>
  <si>
    <t>四道安全门禁CI/CD（数据/服务侧）</t>
  </si>
  <si>
    <t>1.2</t>
  </si>
  <si>
    <t>部署流水线与测试环境先期部署（N4-1/2/3）</t>
  </si>
  <si>
    <t>1.2.1</t>
  </si>
  <si>
    <t>测试环境先期部署（测试：用例与执行）</t>
  </si>
  <si>
    <t>N4a_d3</t>
  </si>
  <si>
    <t>1.2.2</t>
  </si>
  <si>
    <t>Azure DevOps连接K8s与CI/CD部署流水线（前端/应用侧）</t>
  </si>
  <si>
    <t>自动化流水线</t>
  </si>
  <si>
    <t>1.2.3</t>
  </si>
  <si>
    <t>K8s发布清单与环境配置（前端/应用侧）</t>
  </si>
  <si>
    <t>1.2.4</t>
  </si>
  <si>
    <t>Azure DevOps连接K8s与CI/CD部署流水线（数据/服务侧）</t>
  </si>
  <si>
    <t>1.2.5</t>
  </si>
  <si>
    <t>K8s发布清单与环境配置（数据/服务侧）</t>
  </si>
  <si>
    <t>1.2.6</t>
  </si>
  <si>
    <t>测试环境先期部署（数据/服务侧）◆M1 框架与基座就绪</t>
  </si>
  <si>
    <t>2</t>
  </si>
  <si>
    <t>二、批次1·P0优先级：用户权限F08＋存量迁移F01＋元数据F02</t>
  </si>
  <si>
    <t>2.1</t>
  </si>
  <si>
    <t>F08-01 基础角色权限配置</t>
  </si>
  <si>
    <t>2.1.1</t>
  </si>
  <si>
    <t>RBAC模型与权限矩阵（BA：规则定义与验收口径）</t>
  </si>
  <si>
    <t>2.1.2</t>
  </si>
  <si>
    <t>RBAC模型与权限矩阵（测试：用例与执行）</t>
  </si>
  <si>
    <t>2.1.3</t>
  </si>
  <si>
    <t>角色管理界面与API（测试：用例与执行）</t>
  </si>
  <si>
    <t>2.1.4</t>
  </si>
  <si>
    <t>权限校验与UC授权映射（测试：用例与执行）</t>
  </si>
  <si>
    <t>F08-01_d3</t>
  </si>
  <si>
    <t>2.1.5</t>
  </si>
  <si>
    <t>SLC文档汇编（F08-01，按功能/组预估）</t>
  </si>
  <si>
    <t>2.1.6</t>
  </si>
  <si>
    <t>角色管理界面与API（前端/应用侧）</t>
  </si>
  <si>
    <t>2.1.7</t>
  </si>
  <si>
    <t>RBAC模型与权限矩阵（数据/服务侧）</t>
  </si>
  <si>
    <t>2.1.8</t>
  </si>
  <si>
    <t>角色管理界面与API（数据/服务侧）</t>
  </si>
  <si>
    <t>2.1.9</t>
  </si>
  <si>
    <t>权限校验与UC授权映射（数据/服务侧）</t>
  </si>
  <si>
    <t>2.2</t>
  </si>
  <si>
    <t>F08-02 用户账号管理</t>
  </si>
  <si>
    <t>2.2.1</t>
  </si>
  <si>
    <t>账号CRUD与生命周期（BA：规则定义与验收口径）</t>
  </si>
  <si>
    <t>2.2.2</t>
  </si>
  <si>
    <t>账号CRUD与生命周期（测试：用例与执行）</t>
  </si>
  <si>
    <t>2.2.3</t>
  </si>
  <si>
    <t>账号与角色绑定（测试：用例与执行）</t>
  </si>
  <si>
    <t>F08-02_d2</t>
  </si>
  <si>
    <t>2.2.4</t>
  </si>
  <si>
    <t>SLC文档汇编（F08-02，按功能/组预估）</t>
  </si>
  <si>
    <t>2.2.5</t>
  </si>
  <si>
    <t>账号CRUD与生命周期（前端/应用侧）</t>
  </si>
  <si>
    <t>2.2.6</t>
  </si>
  <si>
    <t>账号与角色绑定（前端/应用侧）</t>
  </si>
  <si>
    <t>2.2.7</t>
  </si>
  <si>
    <t>账号CRUD与生命周期（数据/服务侧）</t>
  </si>
  <si>
    <t>2.2.8</t>
  </si>
  <si>
    <t>账号与角色绑定（数据/服务侧）</t>
  </si>
  <si>
    <t>2.3</t>
  </si>
  <si>
    <t>F08-03 企业SSO集成</t>
  </si>
  <si>
    <t>2.3.1</t>
  </si>
  <si>
    <t>Entra ID对接配置【原生】（BA：规则定义与验收口径）</t>
  </si>
  <si>
    <t>2.3.2</t>
  </si>
  <si>
    <t>Entra ID对接配置【原生】（测试：用例与执行）</t>
  </si>
  <si>
    <t>2.3.3</t>
  </si>
  <si>
    <t>SSO登录链路【中间件】（测试：用例与执行）</t>
  </si>
  <si>
    <t>2.3.4</t>
  </si>
  <si>
    <t>认证异常场景处理（测试：用例与执行）</t>
  </si>
  <si>
    <t>F08-03_d2</t>
  </si>
  <si>
    <t>2.3.5</t>
  </si>
  <si>
    <t>SLC文档汇编（F08-03，按功能/组预估）</t>
  </si>
  <si>
    <t>2.3.6</t>
  </si>
  <si>
    <t>Entra ID对接配置【原生】（前端/应用侧）</t>
  </si>
  <si>
    <t>2.3.7</t>
  </si>
  <si>
    <t>SSO登录链路【中间件】（前端/应用侧）</t>
  </si>
  <si>
    <t>2.3.8</t>
  </si>
  <si>
    <t>认证异常场景处理（前端/应用侧）</t>
  </si>
  <si>
    <t>2.3.9</t>
  </si>
  <si>
    <t>Entra ID对接配置【原生】（数据/服务侧）</t>
  </si>
  <si>
    <t>2.3.10</t>
  </si>
  <si>
    <t>SSO登录链路【中间件】（数据/服务侧）</t>
  </si>
  <si>
    <t>2.4</t>
  </si>
  <si>
    <t>F08-04 用户身份自动识别与关联</t>
  </si>
  <si>
    <t>2.4.1</t>
  </si>
  <si>
    <t>身份映射规则（BA：规则定义与验收口径）</t>
  </si>
  <si>
    <t>2.4.2</t>
  </si>
  <si>
    <t>身份映射规则（测试：用例与执行）</t>
  </si>
  <si>
    <t>2.4.3</t>
  </si>
  <si>
    <t>首登自动关联与角色赋予（测试：用例与执行）</t>
  </si>
  <si>
    <t>F08-04_d2</t>
  </si>
  <si>
    <t>2.4.4</t>
  </si>
  <si>
    <t>SLC文档汇编（F08-04，按功能/组预估）</t>
  </si>
  <si>
    <t>2.4.5</t>
  </si>
  <si>
    <t>首登自动关联与角色赋予（前端/应用侧）</t>
  </si>
  <si>
    <t>2.4.6</t>
  </si>
  <si>
    <t>身份映射规则（数据/服务侧）</t>
  </si>
  <si>
    <t>2.4.7</t>
  </si>
  <si>
    <t>首登自动关联与角色赋予（数据/服务侧）</t>
  </si>
  <si>
    <t>2.5</t>
  </si>
  <si>
    <t>F08-05 登录状态与异常访问控制</t>
  </si>
  <si>
    <t>2.5.1</t>
  </si>
  <si>
    <t>会话与超时策略（BA：规则定义与验收口径）</t>
  </si>
  <si>
    <t>2.5.2</t>
  </si>
  <si>
    <t>会话与超时策略（测试：用例与执行）</t>
  </si>
  <si>
    <t>2.5.3</t>
  </si>
  <si>
    <t>异常访问控制（测试：用例与执行）</t>
  </si>
  <si>
    <t>F08-05_d2</t>
  </si>
  <si>
    <t>2.5.4</t>
  </si>
  <si>
    <t>SLC文档汇编（F08-05，按功能/组预估）</t>
  </si>
  <si>
    <t>2.5.5</t>
  </si>
  <si>
    <t>会话与超时策略（前端/应用侧）</t>
  </si>
  <si>
    <t>2.5.6</t>
  </si>
  <si>
    <t>会话与超时策略（数据/服务侧）</t>
  </si>
  <si>
    <t>2.5.7</t>
  </si>
  <si>
    <t>异常访问控制（数据/服务侧）</t>
  </si>
  <si>
    <t>2.6</t>
  </si>
  <si>
    <t>F01-01 结构化历史数据批量导入</t>
  </si>
  <si>
    <t>2.6.1</t>
  </si>
  <si>
    <t>原系统基本信息录入（BA：规则定义与验收口径）</t>
  </si>
  <si>
    <t>2.6.2</t>
  </si>
  <si>
    <t>源库DB连接配置（BA：规则定义与验收口径）</t>
  </si>
  <si>
    <t>2.6.3</t>
  </si>
  <si>
    <t>同步表勾选（BA：规则定义与验收口径）</t>
  </si>
  <si>
    <t>2.6.4</t>
  </si>
  <si>
    <t>保留期限与迁移参数配置（BA：规则定义与验收口径）</t>
  </si>
  <si>
    <t>2.6.5</t>
  </si>
  <si>
    <t>存储落地实现（Iceberg/UC）（BA：规则定义与验收口径）</t>
  </si>
  <si>
    <t>2.6.6</t>
  </si>
  <si>
    <t>原系统基本信息录入（测试：用例与执行）</t>
  </si>
  <si>
    <t>2.6.7</t>
  </si>
  <si>
    <t>源库DB连接配置（测试：用例与执行）</t>
  </si>
  <si>
    <t>2.6.8</t>
  </si>
  <si>
    <t>同步表勾选（测试：用例与执行）</t>
  </si>
  <si>
    <t>2.6.9</t>
  </si>
  <si>
    <t>保留期限与迁移参数配置（测试：用例与执行）</t>
  </si>
  <si>
    <t>2.6.10</t>
  </si>
  <si>
    <t>存储落地实现（Iceberg/UC）（测试：用例与执行）</t>
  </si>
  <si>
    <t>2.6.11</t>
  </si>
  <si>
    <t>SeaTunnel批量导入作业（测试：用例与执行）</t>
  </si>
  <si>
    <t>2.6.12</t>
  </si>
  <si>
    <t>导入执行与监控（测试：用例与执行）</t>
  </si>
  <si>
    <t>F01-01_d7</t>
  </si>
  <si>
    <t>2.6.13</t>
  </si>
  <si>
    <t>SLC文档汇编（F01-01，按功能/组预估）</t>
  </si>
  <si>
    <t>2.6.14</t>
  </si>
  <si>
    <t>原系统基本信息录入（前端/应用侧）</t>
  </si>
  <si>
    <t>2.6.15</t>
  </si>
  <si>
    <t>源库DB连接配置（前端/应用侧）</t>
  </si>
  <si>
    <t>2.6.16</t>
  </si>
  <si>
    <t>同步表勾选（前端/应用侧）</t>
  </si>
  <si>
    <t>2.6.17</t>
  </si>
  <si>
    <t>保留期限与迁移参数配置（前端/应用侧）</t>
  </si>
  <si>
    <t>2.6.18</t>
  </si>
  <si>
    <t>SeaTunnel批量导入作业（前端/应用侧）</t>
  </si>
  <si>
    <t>2.6.19</t>
  </si>
  <si>
    <t>导入执行与监控（前端/应用侧）</t>
  </si>
  <si>
    <t>2.6.20</t>
  </si>
  <si>
    <t>原系统基本信息录入（数据/服务侧）</t>
  </si>
  <si>
    <t>2.6.21</t>
  </si>
  <si>
    <t>源库DB连接配置（数据/服务侧）</t>
  </si>
  <si>
    <t>2.6.22</t>
  </si>
  <si>
    <t>同步表勾选（数据/服务侧）</t>
  </si>
  <si>
    <t>2.6.23</t>
  </si>
  <si>
    <t>保留期限与迁移参数配置（数据/服务侧）</t>
  </si>
  <si>
    <t>2.6.24</t>
  </si>
  <si>
    <t>存储落地实现（Iceberg/UC）（数据/服务侧）</t>
  </si>
  <si>
    <t>2.6.25</t>
  </si>
  <si>
    <t>SeaTunnel批量导入作业（数据/服务侧）</t>
  </si>
  <si>
    <t>2.6.26</t>
  </si>
  <si>
    <t>导入执行与监控（数据/服务侧）</t>
  </si>
  <si>
    <t>2.7</t>
  </si>
  <si>
    <t>F01-02 非结构化文件及离线包批量导入</t>
  </si>
  <si>
    <t>2.7.1</t>
  </si>
  <si>
    <t>文件来源登记与上传通道（BA：规则定义与验收口径）</t>
  </si>
  <si>
    <t>2.7.2</t>
  </si>
  <si>
    <t>附件元数据与Blob存储布局（BA：规则定义与验收口径）</t>
  </si>
  <si>
    <t>2.7.3</t>
  </si>
  <si>
    <t>文件来源登记与上传通道（测试：用例与执行）</t>
  </si>
  <si>
    <t>2.7.4</t>
  </si>
  <si>
    <t>大文件分片上传与断点续传（测试：用例与执行）</t>
  </si>
  <si>
    <t>2.7.5</t>
  </si>
  <si>
    <t>文件包解析（测试：用例与执行）</t>
  </si>
  <si>
    <t>2.7.6</t>
  </si>
  <si>
    <t>附件元数据与Blob存储布局（测试：用例与执行）</t>
  </si>
  <si>
    <t>F01-02_d4</t>
  </si>
  <si>
    <t>2.7.7</t>
  </si>
  <si>
    <t>SLC文档汇编（F01-02，按功能/组预估）</t>
  </si>
  <si>
    <t>2.7.8</t>
  </si>
  <si>
    <t>文件来源登记与上传通道（前端/应用侧）</t>
  </si>
  <si>
    <t>2.7.9</t>
  </si>
  <si>
    <t>大文件分片上传与断点续传（前端/应用侧）</t>
  </si>
  <si>
    <t>2.7.10</t>
  </si>
  <si>
    <t>文件来源登记与上传通道（数据/服务侧）</t>
  </si>
  <si>
    <t>2.7.11</t>
  </si>
  <si>
    <t>大文件分片上传与断点续传（数据/服务侧）</t>
  </si>
  <si>
    <t>2.7.12</t>
  </si>
  <si>
    <t>文件包解析（数据/服务侧）</t>
  </si>
  <si>
    <t>2.7.13</t>
  </si>
  <si>
    <t>附件元数据与Blob存储布局（数据/服务侧）</t>
  </si>
  <si>
    <t>2.8</t>
  </si>
  <si>
    <t>F01-03 数据导入规则配置</t>
  </si>
  <si>
    <t>2.8.1</t>
  </si>
  <si>
    <t>字段映射规则配置（BA：规则定义与验收口径）</t>
  </si>
  <si>
    <t>2.8.2</t>
  </si>
  <si>
    <t>格式转换与清洗规则（BA：规则定义与验收口径）</t>
  </si>
  <si>
    <t>2.8.3</t>
  </si>
  <si>
    <t>字段映射规则配置（测试：用例与执行）</t>
  </si>
  <si>
    <t>2.8.4</t>
  </si>
  <si>
    <t>格式转换与清洗规则（测试：用例与执行）</t>
  </si>
  <si>
    <t>2.8.5</t>
  </si>
  <si>
    <t>校验规则配置（测试：用例与执行）</t>
  </si>
  <si>
    <t>2.8.6</t>
  </si>
  <si>
    <t>规则版本与试跑预览（测试：用例与执行）</t>
  </si>
  <si>
    <t>F01-03_d4</t>
  </si>
  <si>
    <t>2.8.7</t>
  </si>
  <si>
    <t>SLC文档汇编（F01-03，按功能/组预估）</t>
  </si>
  <si>
    <t>2.8.8</t>
  </si>
  <si>
    <t>字段映射规则配置（前端/应用侧）</t>
  </si>
  <si>
    <t>2.8.9</t>
  </si>
  <si>
    <t>校验规则配置（前端/应用侧）</t>
  </si>
  <si>
    <t>2.8.10</t>
  </si>
  <si>
    <t>规则版本与试跑预览（前端/应用侧）</t>
  </si>
  <si>
    <t>2.8.11</t>
  </si>
  <si>
    <t>字段映射规则配置（数据/服务侧）</t>
  </si>
  <si>
    <t>2.8.12</t>
  </si>
  <si>
    <t>格式转换与清洗规则（数据/服务侧）</t>
  </si>
  <si>
    <t>2.8.13</t>
  </si>
  <si>
    <t>校验规则配置（数据/服务侧）</t>
  </si>
  <si>
    <t>2.8.14</t>
  </si>
  <si>
    <t>规则版本与试跑预览（数据/服务侧）</t>
  </si>
  <si>
    <t>2.9</t>
  </si>
  <si>
    <t>F01-04 迁移前完整性基准记录</t>
  </si>
  <si>
    <t>2.9.1</t>
  </si>
  <si>
    <t>基准采集策略定义（BA：规则定义与验收口径）</t>
  </si>
  <si>
    <t>2.9.2</t>
  </si>
  <si>
    <t>基准采集策略定义（测试：用例与执行）</t>
  </si>
  <si>
    <t>2.9.3</t>
  </si>
  <si>
    <t>基准采集作业与存储（测试：用例与执行）</t>
  </si>
  <si>
    <t>2.9.4</t>
  </si>
  <si>
    <t>基准报告查询展示（测试：用例与执行）</t>
  </si>
  <si>
    <t>F01-04_d3</t>
  </si>
  <si>
    <t>2.9.5</t>
  </si>
  <si>
    <t>SLC文档汇编（F01-04，按功能/组预估）</t>
  </si>
  <si>
    <t>2.9.6</t>
  </si>
  <si>
    <t>基准报告查询展示（前端/应用侧）</t>
  </si>
  <si>
    <t>2.9.7</t>
  </si>
  <si>
    <t>基准采集策略定义（数据/服务侧）</t>
  </si>
  <si>
    <t>2.9.8</t>
  </si>
  <si>
    <t>基准采集作业与存储（数据/服务侧）</t>
  </si>
  <si>
    <t>2.9.9</t>
  </si>
  <si>
    <t>基准报告查询展示（数据/服务侧）</t>
  </si>
  <si>
    <t>2.10</t>
  </si>
  <si>
    <t>F01-05 迁移后完整性比对</t>
  </si>
  <si>
    <t>2.10.1</t>
  </si>
  <si>
    <t>差异报告与处理流程（BA：规则定义与验收口径）</t>
  </si>
  <si>
    <t>2.10.2</t>
  </si>
  <si>
    <t>比对引擎（测试：用例与执行）</t>
  </si>
  <si>
    <t>2.10.3</t>
  </si>
  <si>
    <t>差异报告与处理流程（测试：用例与执行）</t>
  </si>
  <si>
    <t>F01-05_d2</t>
  </si>
  <si>
    <t>2.10.4</t>
  </si>
  <si>
    <t>SLC文档汇编（F01-05，按功能/组预估）</t>
  </si>
  <si>
    <t>2.10.5</t>
  </si>
  <si>
    <t>差异报告与处理流程（前端/应用侧）</t>
  </si>
  <si>
    <t>2.10.6</t>
  </si>
  <si>
    <t>比对引擎（数据/服务侧）</t>
  </si>
  <si>
    <t>2.10.7</t>
  </si>
  <si>
    <t>差异报告与处理流程（数据/服务侧）</t>
  </si>
  <si>
    <t>2.11</t>
  </si>
  <si>
    <t>F02-01 统一元数据模型</t>
  </si>
  <si>
    <t>2.11.1</t>
  </si>
  <si>
    <t>元数据字段体系定义（BA：规则定义与验收口径）</t>
  </si>
  <si>
    <t>2.11.2</t>
  </si>
  <si>
    <t>元数据驱动配置机制（BA：规则定义与验收口径）</t>
  </si>
  <si>
    <t>2.11.3</t>
  </si>
  <si>
    <t>元数据字段体系定义（测试：用例与执行）</t>
  </si>
  <si>
    <t>2.11.4</t>
  </si>
  <si>
    <t>元数据核心表与API（测试：用例与执行）</t>
  </si>
  <si>
    <t>2.11.5</t>
  </si>
  <si>
    <t>元数据驱动配置机制（测试：用例与执行）</t>
  </si>
  <si>
    <t>F02-01_d3</t>
  </si>
  <si>
    <t>2.11.6</t>
  </si>
  <si>
    <t>SLC文档汇编（F02-01，按功能/组预估）</t>
  </si>
  <si>
    <t>2.11.7</t>
  </si>
  <si>
    <t>元数据驱动配置机制（前端/应用侧）</t>
  </si>
  <si>
    <t>2.11.8</t>
  </si>
  <si>
    <t>元数据字段体系定义（数据/服务侧）</t>
  </si>
  <si>
    <t>2.11.9</t>
  </si>
  <si>
    <t>元数据核心表与API（数据/服务侧）</t>
  </si>
  <si>
    <t>2.11.10</t>
  </si>
  <si>
    <t>元数据驱动配置机制（数据/服务侧）</t>
  </si>
  <si>
    <t>2.12</t>
  </si>
  <si>
    <t>F02-02 来源系统信息绑定</t>
  </si>
  <si>
    <t>2.12.1</t>
  </si>
  <si>
    <t>绑定规则与批次属性（BA：规则定义与验收口径）</t>
  </si>
  <si>
    <t>2.12.2</t>
  </si>
  <si>
    <t>绑定规则与批次属性（测试：用例与执行）</t>
  </si>
  <si>
    <t>2.12.3</t>
  </si>
  <si>
    <t>接入时自动绑定（测试：用例与执行）</t>
  </si>
  <si>
    <t>2.12.4</t>
  </si>
  <si>
    <t>按来源检索与统计（测试：用例与执行）◆M2 批次1完成</t>
  </si>
  <si>
    <t>F02-02_d3</t>
  </si>
  <si>
    <t>2.12.5</t>
  </si>
  <si>
    <t>SLC文档汇编（F02-02，按功能/组预估）</t>
  </si>
  <si>
    <t>2.12.6</t>
  </si>
  <si>
    <t>按来源检索与统计（前端/应用侧）</t>
  </si>
  <si>
    <t>2.12.7</t>
  </si>
  <si>
    <t>绑定规则与批次属性（数据/服务侧）</t>
  </si>
  <si>
    <t>2.12.8</t>
  </si>
  <si>
    <t>接入时自动绑定（数据/服务侧）</t>
  </si>
  <si>
    <t>2.12.9</t>
  </si>
  <si>
    <t>按来源检索与统计（数据/服务侧）</t>
  </si>
  <si>
    <t>3</t>
  </si>
  <si>
    <t>三、批次2·P1优先级：处置F03＋安全F04＋检索F05＋审计F06</t>
  </si>
  <si>
    <t>3.1</t>
  </si>
  <si>
    <t>F03-01 保留期限到期自动删除</t>
  </si>
  <si>
    <t>3.1.1</t>
  </si>
  <si>
    <t>保留策略配置（BA：规则定义与验收口径）</t>
  </si>
  <si>
    <t>3.1.2</t>
  </si>
  <si>
    <t>处置计划审批与台账（BA：规则定义与验收口径）</t>
  </si>
  <si>
    <t>3.1.3</t>
  </si>
  <si>
    <t>保留策略配置（测试：用例与执行）</t>
  </si>
  <si>
    <t>3.1.4</t>
  </si>
  <si>
    <t>处置引擎（测试：用例与执行）</t>
  </si>
  <si>
    <t>3.1.5</t>
  </si>
  <si>
    <t>处置计划审批与台账（测试：用例与执行）</t>
  </si>
  <si>
    <t>F03-01_d3</t>
  </si>
  <si>
    <t>3.1.6</t>
  </si>
  <si>
    <t>SLC文档汇编（F03-01，按功能/组预估）</t>
  </si>
  <si>
    <t>3.1.7</t>
  </si>
  <si>
    <t>保留策略配置（前端/应用侧）</t>
  </si>
  <si>
    <t>3.1.8</t>
  </si>
  <si>
    <t>处置计划审批与台账（前端/应用侧）</t>
  </si>
  <si>
    <t>3.1.9</t>
  </si>
  <si>
    <t>保留策略配置（数据/服务侧）</t>
  </si>
  <si>
    <t>3.1.10</t>
  </si>
  <si>
    <t>处置引擎（数据/服务侧）</t>
  </si>
  <si>
    <t>3.1.11</t>
  </si>
  <si>
    <t>处置计划审批与台账（数据/服务侧）</t>
  </si>
  <si>
    <t>3.2</t>
  </si>
  <si>
    <t>F03-02 Legal Hold 冻结</t>
  </si>
  <si>
    <t>3.2.1</t>
  </si>
  <si>
    <t>Hold申请与审批流程（BA：规则定义与验收口径）</t>
  </si>
  <si>
    <t>3.2.2</t>
  </si>
  <si>
    <t>Hold申请与审批流程（测试：用例与执行）</t>
  </si>
  <si>
    <t>3.2.3</t>
  </si>
  <si>
    <t>Hold生效与解除实现（测试：用例与执行）</t>
  </si>
  <si>
    <t>3.2.4</t>
  </si>
  <si>
    <t>Hold清单管理与提醒（测试：用例与执行）</t>
  </si>
  <si>
    <t>F03-02_d3</t>
  </si>
  <si>
    <t>3.2.5</t>
  </si>
  <si>
    <t>SLC文档汇编（F03-02，按功能/组预估）</t>
  </si>
  <si>
    <t>3.2.6</t>
  </si>
  <si>
    <t>Hold申请与审批流程（前端/应用侧）</t>
  </si>
  <si>
    <t>3.2.7</t>
  </si>
  <si>
    <t>Hold清单管理与提醒（前端/应用侧）</t>
  </si>
  <si>
    <t>3.2.8</t>
  </si>
  <si>
    <t>Hold申请与审批流程（数据/服务侧）</t>
  </si>
  <si>
    <t>3.2.9</t>
  </si>
  <si>
    <t>Hold生效与解除实现（数据/服务侧）</t>
  </si>
  <si>
    <t>3.2.10</t>
  </si>
  <si>
    <t>Hold清单管理与提醒（数据/服务侧）</t>
  </si>
  <si>
    <t>3.3</t>
  </si>
  <si>
    <t>F04-01 数据加密存储</t>
  </si>
  <si>
    <t>DevB/Mandy</t>
  </si>
  <si>
    <t>3.3.1</t>
  </si>
  <si>
    <t>加密策略定义（BA：规则定义与验收口径）</t>
  </si>
  <si>
    <t>3.3.2</t>
  </si>
  <si>
    <t>加密策略定义（测试：用例与执行）</t>
  </si>
  <si>
    <t>3.3.3</t>
  </si>
  <si>
    <t>存储层加密落地【原生】（测试：用例与执行）</t>
  </si>
  <si>
    <t>3.3.4</t>
  </si>
  <si>
    <t>PII字段级加密服务（测试：用例与执行）</t>
  </si>
  <si>
    <t>F04-01_d3</t>
  </si>
  <si>
    <t>3.3.5</t>
  </si>
  <si>
    <t>SLC文档汇编（F04-01，按功能/组预估）</t>
  </si>
  <si>
    <t>3.3.6</t>
  </si>
  <si>
    <t>加密策略定义（数据/服务侧）</t>
  </si>
  <si>
    <t>3.3.7</t>
  </si>
  <si>
    <t>存储层加密落地【原生】（数据/服务侧）</t>
  </si>
  <si>
    <t>3.3.8</t>
  </si>
  <si>
    <t>PII字段级加密服务（数据/服务侧）</t>
  </si>
  <si>
    <t>3.4</t>
  </si>
  <si>
    <t>F04-02 密钥管理</t>
  </si>
  <si>
    <t>3.4.1</t>
  </si>
  <si>
    <t>密钥全流程管理【原生】（BA：规则定义与验收口径）</t>
  </si>
  <si>
    <t>3.4.2</t>
  </si>
  <si>
    <t>密钥全流程管理【原生】（测试：用例与执行）</t>
  </si>
  <si>
    <t>3.4.3</t>
  </si>
  <si>
    <t>密钥操作审计与告警【原生】（测试：用例与执行）</t>
  </si>
  <si>
    <t>3.4.4</t>
  </si>
  <si>
    <t>密钥状态展示（不自研管理界面）【原生】（测试：用例与执行）</t>
  </si>
  <si>
    <t>F04-02_d2</t>
  </si>
  <si>
    <t>3.4.5</t>
  </si>
  <si>
    <t>SLC文档汇编（F04-02，按功能/组预估）</t>
  </si>
  <si>
    <t>3.4.6</t>
  </si>
  <si>
    <t>密钥操作审计与告警【原生】（前端/应用侧）</t>
  </si>
  <si>
    <t>3.4.7</t>
  </si>
  <si>
    <t>密钥状态展示（不自研管理界面）【原生】（前端/应用侧）</t>
  </si>
  <si>
    <t>3.4.8</t>
  </si>
  <si>
    <t>密钥全流程管理【原生】（数据/服务侧）</t>
  </si>
  <si>
    <t>3.4.9</t>
  </si>
  <si>
    <t>密钥操作审计与告警【原生】（数据/服务侧）</t>
  </si>
  <si>
    <t>3.5</t>
  </si>
  <si>
    <t>F04-03 数据备份管理</t>
  </si>
  <si>
    <t>3.5.1</t>
  </si>
  <si>
    <t>备份策略配置（BA：规则定义与验收口径）</t>
  </si>
  <si>
    <t>3.5.2</t>
  </si>
  <si>
    <t>备份策略配置（测试：用例与执行）</t>
  </si>
  <si>
    <t>3.5.3</t>
  </si>
  <si>
    <t>备份作业与副本创建【原生】（测试：用例与执行）</t>
  </si>
  <si>
    <t>3.5.4</t>
  </si>
  <si>
    <t>备份监控与恢复操作【原生】（测试：用例与执行）</t>
  </si>
  <si>
    <t>F04-03_d3</t>
  </si>
  <si>
    <t>3.5.5</t>
  </si>
  <si>
    <t>SLC文档汇编（F04-03，按功能/组预估）</t>
  </si>
  <si>
    <t>3.5.6</t>
  </si>
  <si>
    <t>备份策略配置（前端/应用侧）</t>
  </si>
  <si>
    <t>3.5.7</t>
  </si>
  <si>
    <t>备份监控与恢复操作【原生】（前端/应用侧）</t>
  </si>
  <si>
    <t>3.5.8</t>
  </si>
  <si>
    <t>备份策略配置（数据/服务侧）</t>
  </si>
  <si>
    <t>3.5.9</t>
  </si>
  <si>
    <t>备份作业与副本创建【原生】（数据/服务侧）</t>
  </si>
  <si>
    <t>3.5.10</t>
  </si>
  <si>
    <t>备份监控与恢复操作【原生】（数据/服务侧）</t>
  </si>
  <si>
    <t>3.6</t>
  </si>
  <si>
    <t>F05-01 关键词检索</t>
  </si>
  <si>
    <t>3.6.1</t>
  </si>
  <si>
    <t>检索配置模型（BA：规则定义与验收口径）</t>
  </si>
  <si>
    <t>3.6.2</t>
  </si>
  <si>
    <t>检索配置模型（测试：用例与执行）</t>
  </si>
  <si>
    <t>3.6.3</t>
  </si>
  <si>
    <t>检索页动态表单（测试：用例与执行）</t>
  </si>
  <si>
    <t>3.6.4</t>
  </si>
  <si>
    <t>查询代理与SERVE层对接（测试：用例与执行）</t>
  </si>
  <si>
    <t>F05-01_d3</t>
  </si>
  <si>
    <t>3.6.5</t>
  </si>
  <si>
    <t>SLC文档汇编（F05-01，按功能/组预估）</t>
  </si>
  <si>
    <t>3.6.6</t>
  </si>
  <si>
    <t>检索配置模型（前端/应用侧）</t>
  </si>
  <si>
    <t>3.6.7</t>
  </si>
  <si>
    <t>检索页动态表单（前端/应用侧）</t>
  </si>
  <si>
    <t>3.6.8</t>
  </si>
  <si>
    <t>检索配置模型（数据/服务侧）</t>
  </si>
  <si>
    <t>3.6.9</t>
  </si>
  <si>
    <t>检索页动态表单（数据/服务侧）</t>
  </si>
  <si>
    <t>3.6.10</t>
  </si>
  <si>
    <t>查询代理与SERVE层对接（数据/服务侧）</t>
  </si>
  <si>
    <t>3.7</t>
  </si>
  <si>
    <t>F05-02 按系统名称检索</t>
  </si>
  <si>
    <t>3.7.1</t>
  </si>
  <si>
    <t>来源系统筛选组件（测试：用例与执行）</t>
  </si>
  <si>
    <t>3.7.2</t>
  </si>
  <si>
    <t>来源维度查询下推（测试：用例与执行）</t>
  </si>
  <si>
    <t>F05-02_d2</t>
  </si>
  <si>
    <t>3.7.3</t>
  </si>
  <si>
    <t>SLC文档汇编（F05-02，按功能/组预估）</t>
  </si>
  <si>
    <t>3.7.4</t>
  </si>
  <si>
    <t>来源系统筛选组件（前端/应用侧）</t>
  </si>
  <si>
    <t>3.7.5</t>
  </si>
  <si>
    <t>来源维度查询下推（数据/服务侧）</t>
  </si>
  <si>
    <t>3.8</t>
  </si>
  <si>
    <t>F05-03 按业务时间检索</t>
  </si>
  <si>
    <t>3.8.1</t>
  </si>
  <si>
    <t>时间维度筛选组件（测试：用例与执行）</t>
  </si>
  <si>
    <t>3.8.2</t>
  </si>
  <si>
    <t>时间分区下推与索引（测试：用例与执行）</t>
  </si>
  <si>
    <t>F05-03_d2</t>
  </si>
  <si>
    <t>3.8.3</t>
  </si>
  <si>
    <t>SLC文档汇编（F05-03，按功能/组预估）</t>
  </si>
  <si>
    <t>3.8.4</t>
  </si>
  <si>
    <t>时间维度筛选组件（前端/应用侧）</t>
  </si>
  <si>
    <t>3.8.5</t>
  </si>
  <si>
    <t>时间分区下推与索引（数据/服务侧）</t>
  </si>
  <si>
    <t>3.9</t>
  </si>
  <si>
    <t>F05-04 检索结果列表展示</t>
  </si>
  <si>
    <t>3.9.1</t>
  </si>
  <si>
    <t>列表展示与分页排序（测试：用例与执行）</t>
  </si>
  <si>
    <t>3.9.2</t>
  </si>
  <si>
    <t>大批量结果性能（测试：用例与执行）</t>
  </si>
  <si>
    <t>F05-04_d2</t>
  </si>
  <si>
    <t>3.9.3</t>
  </si>
  <si>
    <t>SLC文档汇编（F05-04，按功能/组预估）</t>
  </si>
  <si>
    <t>3.9.4</t>
  </si>
  <si>
    <t>列表展示与分页排序（前端/应用侧）</t>
  </si>
  <si>
    <t>3.9.5</t>
  </si>
  <si>
    <t>大批量结果性能（前端/应用侧）</t>
  </si>
  <si>
    <t>3.9.6</t>
  </si>
  <si>
    <t>大批量结果性能（数据/服务侧）</t>
  </si>
  <si>
    <t>3.10</t>
  </si>
  <si>
    <t>F05-05 原始文件在线预览</t>
  </si>
  <si>
    <t>3.10.1</t>
  </si>
  <si>
    <t>预览服务（测试：用例与执行）</t>
  </si>
  <si>
    <t>3.10.2</t>
  </si>
  <si>
    <t>SAS直连与流式加载（测试：用例与执行）</t>
  </si>
  <si>
    <t>3.10.3</t>
  </si>
  <si>
    <t>前端预览组件（测试：用例与执行）</t>
  </si>
  <si>
    <t>F05-05_d2</t>
  </si>
  <si>
    <t>3.10.4</t>
  </si>
  <si>
    <t>SLC文档汇编（F05-05，按功能/组预估）</t>
  </si>
  <si>
    <t>3.10.5</t>
  </si>
  <si>
    <t>SAS直连与流式加载（前端/应用侧）</t>
  </si>
  <si>
    <t>3.10.6</t>
  </si>
  <si>
    <t>前端预览组件（前端/应用侧）</t>
  </si>
  <si>
    <t>3.10.7</t>
  </si>
  <si>
    <t>预览服务（数据/服务侧）</t>
  </si>
  <si>
    <t>3.10.8</t>
  </si>
  <si>
    <t>SAS直连与流式加载（数据/服务侧）</t>
  </si>
  <si>
    <t>3.11</t>
  </si>
  <si>
    <t>F06-01 归档操作日志记录</t>
  </si>
  <si>
    <t>3.11.1</t>
  </si>
  <si>
    <t>埋点规范与日志模型（BA：规则定义与验收口径）</t>
  </si>
  <si>
    <t>3.11.2</t>
  </si>
  <si>
    <t>埋点规范与日志模型（测试：用例与执行）</t>
  </si>
  <si>
    <t>3.11.3</t>
  </si>
  <si>
    <t>操作拦截与落库（测试：用例与执行）</t>
  </si>
  <si>
    <t>3.11.4</t>
  </si>
  <si>
    <t>审计查询界面（测试：用例与执行）</t>
  </si>
  <si>
    <t>F06-01_d3</t>
  </si>
  <si>
    <t>3.11.5</t>
  </si>
  <si>
    <t>SLC文档汇编（F06-01，按功能/组预估）</t>
  </si>
  <si>
    <t>3.11.6</t>
  </si>
  <si>
    <t>审计查询界面（前端/应用侧）</t>
  </si>
  <si>
    <t>3.11.7</t>
  </si>
  <si>
    <t>埋点规范与日志模型（数据/服务侧）</t>
  </si>
  <si>
    <t>3.11.8</t>
  </si>
  <si>
    <t>操作拦截与落库（数据/服务侧）</t>
  </si>
  <si>
    <t>3.11.9</t>
  </si>
  <si>
    <t>审计查询界面（数据/服务侧）</t>
  </si>
  <si>
    <t>3.12</t>
  </si>
  <si>
    <t>F06-02 查询操作日志记录</t>
  </si>
  <si>
    <t>3.12.1</t>
  </si>
  <si>
    <t>查询/预览行为埋点（测试：用例与执行）</t>
  </si>
  <si>
    <t>3.12.2</t>
  </si>
  <si>
    <t>异步批量写入（测试：用例与执行）</t>
  </si>
  <si>
    <t>F06-02_d2</t>
  </si>
  <si>
    <t>3.12.3</t>
  </si>
  <si>
    <t>SLC文档汇编（F06-02，按功能/组预估）</t>
  </si>
  <si>
    <t>3.12.4</t>
  </si>
  <si>
    <t>查询/预览行为埋点（数据/服务侧）</t>
  </si>
  <si>
    <t>3.12.5</t>
  </si>
  <si>
    <t>异步批量写入（数据/服务侧）</t>
  </si>
  <si>
    <t>3.13</t>
  </si>
  <si>
    <t>F06-03 导出操作日志记录</t>
  </si>
  <si>
    <t>3.13.1</t>
  </si>
  <si>
    <t>导出行为审计（测试：用例与执行）</t>
  </si>
  <si>
    <t>3.13.2</t>
  </si>
  <si>
    <t>大批量导出告警（测试：用例与执行）◆M3 批次2完成</t>
  </si>
  <si>
    <t>F06-03_d2</t>
  </si>
  <si>
    <t>3.13.3</t>
  </si>
  <si>
    <t>SLC文档汇编（F06-03，按功能/组预估）</t>
  </si>
  <si>
    <t>3.13.4</t>
  </si>
  <si>
    <t>大批量导出告警（前端/应用侧）</t>
  </si>
  <si>
    <t>3.13.5</t>
  </si>
  <si>
    <t>导出行为审计（数据/服务侧）</t>
  </si>
  <si>
    <t>3.13.6</t>
  </si>
  <si>
    <t>大批量导出告警（数据/服务侧）</t>
  </si>
  <si>
    <t>4</t>
  </si>
  <si>
    <t>四、全局非功能实现与优化（N3）</t>
  </si>
  <si>
    <t>4.1</t>
  </si>
  <si>
    <t>全局非功能实现与优化（N3）</t>
  </si>
  <si>
    <t>4.1.1</t>
  </si>
  <si>
    <t>统一鉴权与数据掩码中间件（BA：规则定义与验收口径）</t>
  </si>
  <si>
    <t>4.1.2</t>
  </si>
  <si>
    <t>前端性能优化（测试：用例与执行）</t>
  </si>
  <si>
    <t>4.1.3</t>
  </si>
  <si>
    <t>查询与数据性能（测试：用例与执行）</t>
  </si>
  <si>
    <t>4.1.4</t>
  </si>
  <si>
    <t>统一鉴权与数据掩码中间件（测试：用例与执行）</t>
  </si>
  <si>
    <t>4.1.5</t>
  </si>
  <si>
    <t>可观测性（日志/监控/告警）【原生】（测试：用例与执行）</t>
  </si>
  <si>
    <t>4.1.6</t>
  </si>
  <si>
    <t>容量与增长验证（测试：用例与执行）</t>
  </si>
  <si>
    <t>N3_w4,N3_d2</t>
  </si>
  <si>
    <t>4.1.7</t>
  </si>
  <si>
    <t>前端性能优化（前端/应用侧）</t>
  </si>
  <si>
    <t>4.1.8</t>
  </si>
  <si>
    <t>统一鉴权与数据掩码中间件（前端/应用侧）</t>
  </si>
  <si>
    <t>4.1.9</t>
  </si>
  <si>
    <t>可观测性（日志/监控/告警）【原生】（前端/应用侧）</t>
  </si>
  <si>
    <t>4.1.10</t>
  </si>
  <si>
    <t>查询与数据性能（数据/服务侧）</t>
  </si>
  <si>
    <t>4.1.11</t>
  </si>
  <si>
    <t>统一鉴权与数据掩码中间件（数据/服务侧）</t>
  </si>
  <si>
    <t>4.1.12</t>
  </si>
  <si>
    <t>可观测性（日志/监控/告警）【原生】（数据/服务侧）</t>
  </si>
  <si>
    <t>4.1.13</t>
  </si>
  <si>
    <t>容量与增长验证（数据/服务侧）</t>
  </si>
  <si>
    <t>人工主导</t>
  </si>
  <si>
    <t>5</t>
  </si>
  <si>
    <t>五、代码质量与静态扫描治理（N2）</t>
  </si>
  <si>
    <t>5.1</t>
  </si>
  <si>
    <t>代码质量与静态扫描治理（N2）</t>
  </si>
  <si>
    <t>5.1.1</t>
  </si>
  <si>
    <t>SAST安全告警修复（测试：用例与执行）</t>
  </si>
  <si>
    <t>N2_w3,N2_d3</t>
  </si>
  <si>
    <t>5.1.2</t>
  </si>
  <si>
    <t>技术债偿还与外部评审落实（测试：用例与执行）</t>
  </si>
  <si>
    <t>N2_w5,N2_d5</t>
  </si>
  <si>
    <t>5.1.3</t>
  </si>
  <si>
    <t>SLC文档汇编（N2，按功能/组预估）</t>
  </si>
  <si>
    <t>5.1.4</t>
  </si>
  <si>
    <t>SAST安全告警修复（前端/应用侧）</t>
  </si>
  <si>
    <t>5.1.5</t>
  </si>
  <si>
    <t>依赖漏洞治理（SCA）（前端/应用侧）</t>
  </si>
  <si>
    <t>5.1.6</t>
  </si>
  <si>
    <t>前端ESLint/Prettier规约（前端/应用侧）</t>
  </si>
  <si>
    <t>5.1.7</t>
  </si>
  <si>
    <t>技术债偿还与外部评审落实（前端/应用侧）</t>
  </si>
  <si>
    <t>5.1.8</t>
  </si>
  <si>
    <t>SAST安全告警修复（数据/服务侧）</t>
  </si>
  <si>
    <t>5.1.9</t>
  </si>
  <si>
    <t>依赖漏洞治理（SCA）（数据/服务侧）</t>
  </si>
  <si>
    <t>5.1.10</t>
  </si>
  <si>
    <t>后端SonarLint规约（数据/服务侧）</t>
  </si>
  <si>
    <t>5.1.11</t>
  </si>
  <si>
    <t>技术债偿还与外部评审落实（数据/服务侧）◆M4 质量收口</t>
  </si>
  <si>
    <t>6</t>
  </si>
  <si>
    <t>六、开发侧文档与部署收尾（N5＋N4-4/5）</t>
  </si>
  <si>
    <t>6.1</t>
  </si>
  <si>
    <t>开发侧文档（N5）</t>
  </si>
  <si>
    <t>6.1.1</t>
  </si>
  <si>
    <t>SLC文档汇编（N5，按功能/组预估）</t>
  </si>
  <si>
    <t>N5_w2,N5_d3</t>
  </si>
  <si>
    <t>6.1.2</t>
  </si>
  <si>
    <t>架构与总体设计文档（前端/应用侧）</t>
  </si>
  <si>
    <t>6.1.3</t>
  </si>
  <si>
    <t>应用接口与模块设计文档（前端/应用侧）</t>
  </si>
  <si>
    <t>6.1.4</t>
  </si>
  <si>
    <t>数据设计与ETL/作业文档（数据/服务侧）</t>
  </si>
  <si>
    <t>6.2</t>
  </si>
  <si>
    <t>部署预演与上线值守（N4-4/5）</t>
  </si>
  <si>
    <t>6.2.1</t>
  </si>
  <si>
    <t>SLC文档汇编（N4·部署与运维）</t>
  </si>
  <si>
    <t>N4b_d1</t>
  </si>
  <si>
    <t>6.2.2</t>
  </si>
  <si>
    <t>上线值守与运维交接（前端/应用侧）◆M5</t>
  </si>
  <si>
    <t>6.2.3</t>
  </si>
  <si>
    <t>部署预演与回退预案（数据/服务侧）</t>
  </si>
  <si>
    <t>6.2.4</t>
  </si>
  <si>
    <t>上线值守与运维交接（数据/服务侧）</t>
  </si>
  <si>
    <t>风险类别</t>
  </si>
  <si>
    <t>风险描述</t>
  </si>
  <si>
    <t>风险影响</t>
  </si>
  <si>
    <t>可接受原因</t>
  </si>
  <si>
    <t>AI代码评审与维护依赖</t>
  </si>
  <si>
    <t>代码生成、代码评审和后续维护大量依赖AI工具完成。</t>
  </si>
  <si>
    <t>开发人员对部分实现细节掌握下降；维护效率可能受AI工具可用性影响；不同AI建议存在差异。</t>
  </si>
  <si>
    <t>最终代码仍需人工审核；AI作为辅助工具；可通过规范和知识沉淀控制风险。</t>
  </si>
  <si>
    <t>AI生成文档质量</t>
  </si>
  <si>
    <t>需求、设计、接口及运维文档主要由AI生成。</t>
  </si>
  <si>
    <t>文档存在机器风格；业务背景描述可能不够准确；正式发布前需人工润色。</t>
  </si>
  <si>
    <t>显著提升文档产出效率；技术内容可快速形成；必要时投入少量effort调整为人工风格。</t>
  </si>
  <si>
    <t>AI辅助测试覆盖</t>
  </si>
  <si>
    <t>测试用例设计、自动化脚本编写和缺陷分析依赖AI辅助。</t>
  </si>
  <si>
    <t>常规场景覆盖较好，但复杂业务场景、边界条件和隐含规则可能覆盖不足。</t>
  </si>
  <si>
    <t>测试人员可补充关键场景；结合人工测试和UAT可有效降低遗漏风险。</t>
  </si>
  <si>
    <r>
      <t xml:space="preserve">Azure Resource Spec </t>
    </r>
    <r>
      <rPr>
        <rFont val="Calibri"/>
        <family val="2"/>
        <b val="1"/>
        <color rgb="FFFF0000"/>
        <sz val="10"/>
      </rPr>
      <t>*</t>
    </r>
  </si>
  <si>
    <r>
      <t xml:space="preserve">Price / Month </t>
    </r>
    <r>
      <rPr>
        <rFont val="Calibri"/>
        <family val="2"/>
        <b val="1"/>
        <color rgb="FFFF0000"/>
        <sz val="10"/>
      </rPr>
      <t>**</t>
    </r>
  </si>
  <si>
    <r>
      <t xml:space="preserve">Resource No
</t>
    </r>
    <r>
      <rPr>
        <rFont val="Calibri"/>
        <family val="2"/>
        <b val="1"/>
        <color rgb="FFFF0000"/>
        <sz val="10"/>
      </rPr>
      <t>******</t>
    </r>
  </si>
  <si>
    <r>
      <t xml:space="preserve">VM Patch Method </t>
    </r>
    <r>
      <rPr>
        <rFont val="Calibri"/>
        <family val="2"/>
        <b val="1"/>
        <color rgb="FFFF0000"/>
        <sz val="10"/>
      </rPr>
      <t>***</t>
    </r>
  </si>
  <si>
    <r>
      <t xml:space="preserve">VM Patch Window
</t>
    </r>
    <r>
      <rPr>
        <rFont val="Calibri"/>
        <family val="2"/>
        <b val="1"/>
        <color rgb="FFFF0000"/>
        <sz val="10"/>
      </rPr>
      <t>***</t>
    </r>
  </si>
  <si>
    <r>
      <t xml:space="preserve">Reboot Method </t>
    </r>
    <r>
      <rPr>
        <rFont val="Calibri"/>
        <family val="2"/>
        <b val="1"/>
        <color rgb="FFFF0000"/>
        <sz val="10"/>
      </rPr>
      <t>***</t>
    </r>
  </si>
  <si>
    <r>
      <t xml:space="preserve">Reboot Window
</t>
    </r>
    <r>
      <rPr>
        <rFont val="Calibri"/>
        <family val="2"/>
        <b val="1"/>
        <color rgb="FFFF0000"/>
        <sz val="10"/>
      </rPr>
      <t>***</t>
    </r>
  </si>
  <si>
    <r>
      <t>Kubernetes</t>
    </r>
    <r>
      <rPr>
        <rFont val="微软雅黑"/>
        <charset val="134"/>
        <family val="2"/>
        <color theme="1"/>
        <sz val="10"/>
      </rPr>
      <t>集群服务</t>
    </r>
  </si>
</sst>
</file>

<file path=xl/styles.xml><?xml version="1.0" encoding="utf-8"?>
<styleSheet xmlns="http://schemas.openxmlformats.org/spreadsheetml/2006/main">
  <numFmts count="6">
    <numFmt numFmtId="300" formatCode="&quot;￥&quot;#,##0;&quot;￥&quot;\-#,##0"/>
    <numFmt numFmtId="301" formatCode="0.##"/>
    <numFmt numFmtId="302" formatCode="mm/dd"/>
    <numFmt numFmtId="303" formatCode="General"/>
    <numFmt numFmtId="304" formatCode="_ * #,##0.00_ ;_ * \-#,##0.00_ ;_ * &quot;-&quot;??_ ;_ @_ "/>
    <numFmt numFmtId="305" formatCode="[$-F400]h:mm:ss\ AM/PM"/>
  </numFmts>
  <fonts count="54">
    <font>
      <name val="Calibri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0F172A"/>
      <sz val="14"/>
    </font>
    <font>
      <name val="Microsoft YaHei"/>
      <b val="1"/>
      <color rgb="FFFFFFFF"/>
      <sz val="10"/>
    </font>
    <font>
      <name val="Calibri"/>
      <family val="2"/>
      <color theme="1"/>
      <sz val="10"/>
      <scheme val="minor"/>
    </font>
    <font>
      <name val="Microsoft YaHei"/>
      <b val="1"/>
      <color rgb="FF475569"/>
      <sz val="10"/>
    </font>
    <font>
      <name val="Microsoft YaHei"/>
      <b val="1"/>
      <color rgb="FF0F172A"/>
      <sz val="10"/>
    </font>
    <font>
      <name val="Microsoft YaHei"/>
      <color theme="1"/>
      <sz val="10"/>
    </font>
    <font>
      <name val="Microsoft YaHei"/>
      <color rgb="FF1E3A8A"/>
      <sz val="10"/>
    </font>
    <font>
      <name val="Microsoft YaHei"/>
      <b val="1"/>
      <color rgb="FF000000"/>
      <sz val="10"/>
    </font>
    <font>
      <name val="Microsoft YaHei"/>
      <color rgb="FF059669"/>
      <sz val="10"/>
    </font>
    <font>
      <name val="Microsoft YaHei"/>
      <b val="1"/>
      <color rgb="FFB45309"/>
      <sz val="10"/>
    </font>
    <font>
      <name val="Calibri"/>
      <charset val="134"/>
      <family val="2"/>
      <color theme="1"/>
      <sz val="10"/>
      <scheme val="minor"/>
    </font>
    <font>
      <name val="等线"/>
      <charset val="134"/>
      <family val="4"/>
      <b val="1"/>
      <color rgb="FFFFFFFF"/>
      <sz val="11"/>
    </font>
    <font>
      <name val="等线"/>
      <charset val="134"/>
      <color theme="1"/>
      <sz val="11"/>
    </font>
    <font>
      <name val="等线"/>
      <charset val="134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8" tint="-0.499985"/>
      <sz val="18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8" tint="-0.499985"/>
      <sz val="10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sz val="10"/>
    </font>
    <font>
      <name val="Calibri"/>
      <charset val="134"/>
      <family val="2"/>
      <color theme="1"/>
      <sz val="11"/>
      <scheme val="minor"/>
    </font>
    <font>
      <name val="Calibri"/>
      <family val="2"/>
      <sz val="10"/>
      <scheme val="minor"/>
    </font>
    <font>
      <name val="Microsoft YaHei"/>
      <b val="1"/>
      <color rgb="FFFFFFFF"/>
      <sz val="9"/>
    </font>
    <font>
      <name val="Microsoft YaHei"/>
      <charset val="134"/>
      <b val="1"/>
      <color rgb="FFB45309"/>
      <sz val="9"/>
    </font>
    <font>
      <name val="Microsoft YaHei"/>
      <charset val="134"/>
      <b val="1"/>
      <color rgb="FF0F172A"/>
      <sz val="8"/>
    </font>
    <font>
      <name val="Microsoft YaHei"/>
      <charset val="134"/>
      <color rgb="FF475569"/>
      <sz val="8"/>
    </font>
    <font>
      <name val="Microsoft YaHei"/>
      <color rgb="FF475569"/>
      <sz val="10"/>
    </font>
    <font>
      <name val="Microsoft YaHei"/>
      <b val="1"/>
      <color rgb="FFFF0000"/>
      <sz val="10"/>
    </font>
    <font>
      <name val="Microsoft YaHei"/>
      <color rgb="FF64748B"/>
      <sz val="10"/>
    </font>
    <font>
      <name val="Microsoft YaHei"/>
      <charset val="134"/>
      <b val="1"/>
      <color rgb="FF7C3AED"/>
      <sz val="9"/>
    </font>
    <font>
      <name val="Microsoft YaHei"/>
      <charset val="134"/>
      <b val="1"/>
      <color rgb="FF047857"/>
      <sz val="9"/>
    </font>
    <font>
      <name val="Microsoft YaHei"/>
      <b val="1"/>
      <color rgb="FF1E3A8A"/>
      <sz val="9"/>
    </font>
    <font>
      <name val="Microsoft YaHei"/>
      <b val="1"/>
      <color rgb="FF000000"/>
      <sz val="9"/>
    </font>
    <font>
      <name val="微软雅黑"/>
      <charset val="134"/>
      <family val="2"/>
      <color rgb="FF1F2937"/>
      <sz val="9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6"/>
    </font>
    <font>
      <name val="Calibri"/>
      <family val="2"/>
      <b val="1"/>
      <color rgb="FFFFFFFF"/>
      <sz val="13"/>
    </font>
    <font>
      <name val="Calibri"/>
      <family val="2"/>
      <color theme="0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b val="1"/>
      <color rgb="FF1F4E79"/>
      <sz val="10"/>
    </font>
    <font>
      <name val="Calibri"/>
      <family val="2"/>
      <b val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1"/>
      <scheme val="minor"/>
    </font>
    <font>
      <color rgb="FF9C0006"/>
    </font>
    <font>
      <name val="Calibri"/>
      <charset val="134"/>
      <color theme="1"/>
      <sz val="11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7ED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47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DED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D9E1F2"/>
      </patternFill>
    </fill>
    <fill>
      <patternFill patternType="solid">
        <fgColor rgb="FF00B0F0"/>
        <bgColor rgb="FF000000"/>
      </patternFill>
    </fill>
    <fill>
      <patternFill patternType="solid">
        <bgColor rgb="FFFCFCFF"/>
      </patternFill>
    </fill>
    <fill>
      <patternFill patternType="none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>
    <xf numFmtId="303" fontId="53" fillId="0" borderId="11" xfId="0"/>
    <xf numFmtId="304" fontId="17" fillId="26" borderId="11" xfId="0" applyFont="0" applyFill="0" applyBorder="0" applyAlignment="0" applyProtection="0"/>
    <xf numFmtId="305" fontId="25" fillId="26" borderId="11" xfId="0">
      <alignment vertical="center"/>
    </xf>
    <xf numFmtId="303" fontId="17" fillId="26" borderId="11" xfId="0"/>
  </cellStyleXfs>
  <cellXfs count="13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3" fontId="3" fillId="0" borderId="11" xfId="0" applyFont="1" applyAlignment="1">
      <alignment horizontal="left"/>
    </xf>
    <xf numFmtId="303" fontId="4" fillId="2" borderId="1" xfId="0" applyFont="1" applyFill="1" applyBorder="1" applyAlignment="1">
      <alignment horizontal="center" vertical="center" wrapText="1"/>
    </xf>
    <xf numFmtId="303" fontId="5" fillId="0" borderId="11" xfId="0" applyFont="1"/>
    <xf numFmtId="303" fontId="6" fillId="3" borderId="1" xfId="0" applyFont="1" applyFill="1" applyBorder="1" applyAlignment="1">
      <alignment horizontal="center" vertical="center" wrapText="1"/>
    </xf>
    <xf numFmtId="303" fontId="7" fillId="0" borderId="1" xfId="0" applyFont="1" applyBorder="1" applyAlignment="1">
      <alignment horizontal="left" vertical="center" wrapText="1"/>
    </xf>
    <xf numFmtId="303" fontId="8" fillId="0" borderId="1" xfId="0" applyFont="1" applyBorder="1" applyAlignment="1">
      <alignment horizontal="left" vertical="center" wrapText="1"/>
    </xf>
    <xf numFmtId="303" fontId="9" fillId="0" borderId="1" xfId="0" applyFont="1" applyBorder="1" applyAlignment="1">
      <alignment horizontal="center" vertical="center" wrapText="1"/>
    </xf>
    <xf numFmtId="303" fontId="10" fillId="0" borderId="1" xfId="0" applyFont="1" applyBorder="1" applyAlignment="1">
      <alignment horizontal="center" vertical="center" wrapText="1"/>
    </xf>
    <xf numFmtId="303" fontId="11" fillId="0" borderId="1" xfId="0" applyFont="1" applyBorder="1" applyAlignment="1">
      <alignment horizontal="left" vertical="center" wrapText="1"/>
    </xf>
    <xf numFmtId="303" fontId="12" fillId="4" borderId="1" xfId="0" applyFont="1" applyFill="1" applyBorder="1" applyAlignment="1">
      <alignment horizontal="left" vertical="center" wrapText="1"/>
    </xf>
    <xf numFmtId="303" fontId="6" fillId="5" borderId="1" xfId="0" applyFont="1" applyFill="1" applyBorder="1" applyAlignment="1">
      <alignment horizontal="center" vertical="center" wrapText="1"/>
    </xf>
    <xf numFmtId="303" fontId="13" fillId="0" borderId="11" xfId="0" applyFont="1"/>
    <xf numFmtId="303" fontId="6" fillId="6" borderId="1" xfId="0" applyFont="1" applyFill="1" applyBorder="1" applyAlignment="1">
      <alignment horizontal="center" vertical="center" wrapText="1"/>
    </xf>
    <xf numFmtId="303" fontId="6" fillId="7" borderId="1" xfId="0" applyFont="1" applyFill="1" applyBorder="1" applyAlignment="1">
      <alignment horizontal="center" vertical="center" wrapText="1"/>
    </xf>
    <xf numFmtId="303" fontId="14" fillId="2" borderId="1" xfId="0" applyFont="1" applyFill="1" applyBorder="1" applyAlignment="1">
      <alignment horizontal="center" vertical="center" wrapText="1"/>
    </xf>
    <xf numFmtId="303" fontId="15" fillId="0" borderId="1" xfId="0" applyFont="1" applyBorder="1" applyAlignment="1">
      <alignment vertical="center" wrapText="1"/>
    </xf>
    <xf numFmtId="303" fontId="16" fillId="0" borderId="1" xfId="0" applyFont="1" applyBorder="1" applyAlignment="1">
      <alignment vertical="center" wrapText="1"/>
    </xf>
    <xf numFmtId="303" fontId="17" fillId="0" borderId="11" xfId="0" applyFont="1"/>
    <xf numFmtId="303" fontId="18" fillId="0" borderId="1" xfId="0" applyFont="1" applyBorder="1" applyAlignment="1">
      <alignment vertical="center"/>
    </xf>
    <xf numFmtId="303" fontId="19" fillId="8" borderId="11" xfId="3" applyFont="1" applyFill="1" applyAlignment="1">
      <alignment horizontal="center" vertical="center"/>
    </xf>
    <xf numFmtId="303" fontId="17" fillId="26" borderId="11" xfId="3" applyAlignment="1">
      <alignment vertical="center"/>
    </xf>
    <xf numFmtId="303" fontId="20" fillId="9" borderId="1" xfId="3" applyFont="1" applyFill="1" applyBorder="1" applyAlignment="1">
      <alignment horizontal="center" vertical="center"/>
    </xf>
    <xf numFmtId="303" fontId="21" fillId="10" borderId="1" xfId="3" applyFont="1" applyFill="1" applyBorder="1" applyAlignment="1">
      <alignment horizontal="center" vertical="center" wrapText="1"/>
    </xf>
    <xf numFmtId="303" fontId="22" fillId="8" borderId="1" xfId="3" applyFont="1" applyFill="1" applyBorder="1" applyAlignment="1" applyProtection="1">
      <alignment horizontal="center" vertical="center" wrapText="1"/>
      <protection locked="0"/>
    </xf>
    <xf numFmtId="303" fontId="22" fillId="8" borderId="1" xfId="3" applyFont="1" applyFill="1" applyBorder="1" applyAlignment="1" applyProtection="1">
      <alignment horizontal="left" vertical="center" wrapText="1"/>
      <protection locked="0"/>
    </xf>
    <xf numFmtId="303" fontId="23" fillId="26" borderId="1" xfId="3" applyFont="1" applyBorder="1" applyAlignment="1" applyProtection="1">
      <alignment vertical="center" wrapText="1"/>
      <protection locked="0"/>
    </xf>
    <xf numFmtId="303" fontId="23" fillId="8" borderId="1" xfId="3" applyFont="1" applyFill="1" applyBorder="1" applyAlignment="1" applyProtection="1">
      <alignment vertical="center" wrapText="1"/>
      <protection locked="0"/>
    </xf>
    <xf numFmtId="303" fontId="23" fillId="8" borderId="2" xfId="3" applyFont="1" applyFill="1" applyBorder="1" applyAlignment="1" applyProtection="1">
      <alignment horizontal="center" vertical="center" wrapText="1"/>
      <protection locked="0"/>
    </xf>
    <xf numFmtId="303" fontId="23" fillId="8" borderId="1" xfId="3" applyFont="1" applyFill="1" applyBorder="1" applyAlignment="1" applyProtection="1">
      <alignment horizontal="center" vertical="center" wrapText="1"/>
      <protection locked="0"/>
    </xf>
    <xf numFmtId="14" fontId="23" fillId="8" borderId="1" xfId="3" applyNumberFormat="1" applyFont="1" applyFill="1" applyBorder="1" applyAlignment="1" applyProtection="1">
      <alignment vertical="center" wrapText="1"/>
      <protection locked="0"/>
    </xf>
    <xf numFmtId="303" fontId="53" fillId="8" borderId="1" xfId="0" applyFill="1" applyBorder="1" applyAlignment="1">
      <alignment horizontal="center" vertical="center" wrapText="1"/>
    </xf>
    <xf numFmtId="303" fontId="23" fillId="8" borderId="1" xfId="3" applyFont="1" applyFill="1" applyBorder="1" applyAlignment="1" applyProtection="1">
      <alignment horizontal="right" vertical="center" wrapText="1"/>
      <protection locked="0"/>
    </xf>
    <xf numFmtId="303" fontId="53" fillId="0" borderId="3" xfId="0" applyBorder="1" applyAlignment="1">
      <alignment horizontal="center" vertical="center" wrapText="1"/>
    </xf>
    <xf numFmtId="303" fontId="24" fillId="8" borderId="1" xfId="3" applyFont="1" applyFill="1" applyBorder="1" applyAlignment="1" applyProtection="1">
      <alignment horizontal="right" vertical="center" wrapText="1"/>
      <protection locked="0"/>
    </xf>
    <xf numFmtId="303" fontId="24" fillId="8" borderId="1" xfId="3" applyFont="1" applyFill="1" applyBorder="1" applyAlignment="1" applyProtection="1">
      <alignment vertical="center" wrapText="1"/>
      <protection locked="0"/>
    </xf>
    <xf numFmtId="303" fontId="53" fillId="0" borderId="4" xfId="0" applyBorder="1" applyAlignment="1">
      <alignment horizontal="center" vertical="center" wrapText="1"/>
    </xf>
    <xf numFmtId="303" fontId="22" fillId="26" borderId="1" xfId="3" applyFont="1" applyBorder="1" applyAlignment="1" applyProtection="1">
      <alignment horizontal="center" vertical="center" wrapText="1"/>
      <protection locked="0"/>
    </xf>
    <xf numFmtId="303" fontId="25" fillId="26" borderId="1" xfId="3" applyFont="1" applyBorder="1" applyAlignment="1">
      <alignment vertical="center"/>
    </xf>
    <xf numFmtId="303" fontId="22" fillId="26" borderId="1" xfId="3" applyFont="1" applyBorder="1" applyAlignment="1" applyProtection="1">
      <alignment vertical="center" wrapText="1"/>
      <protection locked="0"/>
    </xf>
    <xf numFmtId="303" fontId="23" fillId="26" borderId="1" xfId="3" applyFont="1" applyBorder="1" applyAlignment="1" applyProtection="1">
      <alignment horizontal="center" vertical="center" wrapText="1"/>
      <protection locked="0"/>
    </xf>
    <xf numFmtId="303" fontId="17" fillId="26" borderId="1" xfId="3" applyBorder="1" applyAlignment="1">
      <alignment vertical="center"/>
    </xf>
    <xf numFmtId="303" fontId="25" fillId="26" borderId="1" xfId="3" applyFont="1" applyBorder="1" applyAlignment="1">
      <alignment vertical="center" wrapText="1"/>
    </xf>
    <xf numFmtId="303" fontId="17" fillId="8" borderId="1" xfId="3" applyFill="1" applyBorder="1" applyAlignment="1">
      <alignment horizontal="center" vertical="center"/>
    </xf>
    <xf numFmtId="303" fontId="17" fillId="8" borderId="1" xfId="3" applyFill="1" applyBorder="1" applyAlignment="1">
      <alignment vertical="center"/>
    </xf>
    <xf numFmtId="303" fontId="26" fillId="8" borderId="1" xfId="3" applyFont="1" applyFill="1" applyBorder="1" applyAlignment="1">
      <alignment vertical="center"/>
    </xf>
    <xf numFmtId="304" fontId="24" fillId="8" borderId="1" xfId="1" applyFont="1" applyFill="1" applyBorder="1" applyAlignment="1" applyProtection="1">
      <alignment vertical="center" wrapText="1"/>
      <protection locked="0"/>
    </xf>
    <xf numFmtId="14" fontId="24" fillId="8" borderId="1" xfId="2" applyNumberFormat="1" applyFont="1" applyFill="1" applyBorder="1" applyAlignment="1" applyProtection="1">
      <alignment vertical="center" wrapText="1"/>
      <protection locked="0"/>
    </xf>
    <xf numFmtId="303" fontId="27" fillId="2" borderId="5" xfId="0" applyFont="1" applyFill="1" applyBorder="1" applyAlignment="1">
      <alignment horizontal="center" vertical="center" wrapText="1"/>
    </xf>
    <xf numFmtId="303" fontId="27" fillId="2" borderId="6" xfId="0" applyFont="1" applyFill="1" applyBorder="1" applyAlignment="1">
      <alignment horizontal="center" vertical="center" wrapText="1"/>
    </xf>
    <xf numFmtId="303" fontId="28" fillId="11" borderId="1" xfId="0" applyFont="1" applyFill="1" applyBorder="1" applyAlignment="1">
      <alignment horizontal="center" vertical="center" wrapText="1"/>
    </xf>
    <xf numFmtId="303" fontId="29" fillId="0" borderId="1" xfId="0" applyFont="1" applyBorder="1" applyAlignment="1">
      <alignment horizontal="center" vertical="center" wrapText="1"/>
    </xf>
    <xf numFmtId="303" fontId="30" fillId="0" borderId="1" xfId="0" applyFont="1" applyBorder="1" applyAlignment="1">
      <alignment horizontal="left" vertical="center" wrapText="1"/>
    </xf>
    <xf numFmtId="303" fontId="31" fillId="0" borderId="1" xfId="0" applyFont="1" applyBorder="1" applyAlignment="1">
      <alignment horizontal="left" vertical="center" wrapText="1"/>
    </xf>
    <xf numFmtId="10" fontId="31" fillId="0" borderId="1" xfId="0" applyNumberFormat="1" applyFont="1" applyBorder="1" applyAlignment="1">
      <alignment horizontal="center" vertical="center" wrapText="1"/>
    </xf>
    <xf numFmtId="303" fontId="32" fillId="0" borderId="1" xfId="0" applyFont="1" applyBorder="1" applyAlignment="1">
      <alignment horizontal="center" vertical="center" wrapText="1"/>
    </xf>
    <xf numFmtId="303" fontId="7" fillId="0" borderId="1" xfId="0" applyFont="1" applyBorder="1" applyAlignment="1">
      <alignment horizontal="center" vertical="center" wrapText="1"/>
    </xf>
    <xf numFmtId="300" fontId="7" fillId="0" borderId="1" xfId="0" applyNumberFormat="1" applyFont="1" applyBorder="1" applyAlignment="1">
      <alignment horizontal="center" vertical="center" wrapText="1"/>
    </xf>
    <xf numFmtId="303" fontId="33" fillId="0" borderId="1" xfId="0" applyFont="1" applyBorder="1" applyAlignment="1">
      <alignment horizontal="left" vertical="center" wrapText="1"/>
    </xf>
    <xf numFmtId="303" fontId="5" fillId="0" borderId="1" xfId="0" applyFont="1" applyBorder="1" applyAlignment="1">
      <alignment horizontal="center" vertical="center"/>
    </xf>
    <xf numFmtId="303" fontId="34" fillId="12" borderId="1" xfId="0" applyFont="1" applyFill="1" applyBorder="1" applyAlignment="1">
      <alignment horizontal="center" vertical="center" wrapText="1"/>
    </xf>
    <xf numFmtId="303" fontId="35" fillId="13" borderId="1" xfId="0" applyFont="1" applyFill="1" applyBorder="1" applyAlignment="1">
      <alignment horizontal="center" vertical="center" wrapText="1"/>
    </xf>
    <xf numFmtId="303" fontId="36" fillId="14" borderId="7" xfId="0" applyFont="1" applyFill="1" applyBorder="1" applyAlignment="1">
      <alignment horizontal="center" vertical="center" wrapText="1"/>
    </xf>
    <xf numFmtId="303" fontId="36" fillId="14" borderId="8" xfId="0" applyFont="1" applyFill="1" applyBorder="1" applyAlignment="1">
      <alignment horizontal="left" vertical="center" wrapText="1"/>
    </xf>
    <xf numFmtId="303" fontId="36" fillId="14" borderId="8" xfId="0" applyFont="1" applyFill="1" applyBorder="1" applyAlignment="1">
      <alignment horizontal="center" vertical="center" wrapText="1"/>
    </xf>
    <xf numFmtId="303" fontId="37" fillId="14" borderId="8" xfId="0" applyFont="1" applyFill="1" applyBorder="1" applyAlignment="1">
      <alignment horizontal="center" vertical="center" wrapText="1"/>
    </xf>
    <xf numFmtId="303" fontId="37" fillId="14" borderId="8" xfId="0" applyFont="1" applyFill="1" applyBorder="1" applyAlignment="1">
      <alignment horizontal="left" vertical="center" wrapText="1"/>
    </xf>
    <xf numFmtId="300" fontId="37" fillId="14" borderId="8" xfId="0" applyNumberFormat="1" applyFont="1" applyFill="1" applyBorder="1" applyAlignment="1">
      <alignment horizontal="left" vertical="center" wrapText="1"/>
    </xf>
    <xf numFmtId="303" fontId="53" fillId="0" borderId="1" xfId="0" applyBorder="1"/>
    <xf numFmtId="303" fontId="53" fillId="0" borderId="1" xfId="0" applyBorder="1" applyAlignment="1">
      <alignment horizontal="left"/>
    </xf>
    <xf numFmtId="10" fontId="53" fillId="0" borderId="1" xfId="0" applyNumberFormat="1" applyBorder="1"/>
    <xf numFmtId="303" fontId="38" fillId="0" borderId="1" xfId="0" applyFont="1" applyBorder="1" applyAlignment="1">
      <alignment horizontal="left" vertical="center" readingOrder="1"/>
    </xf>
    <xf numFmtId="303" fontId="38" fillId="0" borderId="1" xfId="0" applyFont="1" applyBorder="1"/>
    <xf numFmtId="303" fontId="53" fillId="0" borderId="11" xfId="0" applyAlignment="1">
      <alignment horizontal="left"/>
    </xf>
    <xf numFmtId="303" fontId="39" fillId="2" borderId="1" xfId="0" applyFont="1" applyFill="1" applyBorder="1" applyAlignment="1">
      <alignment horizontal="center" vertical="center"/>
    </xf>
    <xf numFmtId="303" fontId="53" fillId="2" borderId="1" xfId="0" applyFill="1" applyBorder="1"/>
    <xf numFmtId="303" fontId="40" fillId="2" borderId="1" xfId="0" applyFont="1" applyFill="1" applyBorder="1" applyAlignment="1">
      <alignment horizontal="center" vertical="center"/>
    </xf>
    <xf numFmtId="303" fontId="53" fillId="0" borderId="1" xfId="0" applyBorder="1" applyAlignment="1">
      <alignment horizontal="center" vertical="center"/>
    </xf>
    <xf numFmtId="303" fontId="41" fillId="15" borderId="1" xfId="0" applyFont="1" applyFill="1" applyBorder="1" applyAlignment="1">
      <alignment horizontal="center" vertical="center" wrapText="1"/>
    </xf>
    <xf numFmtId="303" fontId="41" fillId="15" borderId="1" xfId="0" applyFont="1" applyFill="1" applyBorder="1" applyAlignment="1">
      <alignment horizontal="left" vertical="center" wrapText="1"/>
    </xf>
    <xf numFmtId="303" fontId="53" fillId="0" borderId="1" xfId="0" applyBorder="1" applyAlignment="1">
      <alignment vertical="center" wrapText="1"/>
    </xf>
    <xf numFmtId="301" fontId="53" fillId="0" borderId="1" xfId="0" applyNumberFormat="1" applyBorder="1" applyAlignment="1">
      <alignment horizontal="center" vertical="center"/>
    </xf>
    <xf numFmtId="301" fontId="41" fillId="15" borderId="1" xfId="0" applyNumberFormat="1" applyFont="1" applyFill="1" applyBorder="1" applyAlignment="1">
      <alignment horizontal="center" vertical="center"/>
    </xf>
    <xf numFmtId="303" fontId="41" fillId="16" borderId="1" xfId="0" applyFont="1" applyFill="1" applyBorder="1" applyAlignment="1">
      <alignment horizontal="center" vertical="center" wrapText="1"/>
    </xf>
    <xf numFmtId="303" fontId="41" fillId="16" borderId="1" xfId="0" applyFont="1" applyFill="1" applyBorder="1" applyAlignment="1">
      <alignment horizontal="left" vertical="center" wrapText="1"/>
    </xf>
    <xf numFmtId="301" fontId="41" fillId="16" borderId="1" xfId="0" applyNumberFormat="1" applyFont="1" applyFill="1" applyBorder="1" applyAlignment="1">
      <alignment horizontal="center" vertical="center"/>
    </xf>
    <xf numFmtId="303" fontId="41" fillId="17" borderId="1" xfId="0" applyFont="1" applyFill="1" applyBorder="1" applyAlignment="1">
      <alignment horizontal="center" vertical="center" wrapText="1"/>
    </xf>
    <xf numFmtId="303" fontId="41" fillId="17" borderId="1" xfId="0" applyFont="1" applyFill="1" applyBorder="1" applyAlignment="1">
      <alignment horizontal="left" vertical="center" wrapText="1"/>
    </xf>
    <xf numFmtId="301" fontId="41" fillId="17" borderId="1" xfId="0" applyNumberFormat="1" applyFont="1" applyFill="1" applyBorder="1" applyAlignment="1">
      <alignment horizontal="center" vertical="center"/>
    </xf>
    <xf numFmtId="303" fontId="41" fillId="18" borderId="1" xfId="0" applyFont="1" applyFill="1" applyBorder="1" applyAlignment="1">
      <alignment horizontal="center" vertical="center" wrapText="1"/>
    </xf>
    <xf numFmtId="303" fontId="41" fillId="18" borderId="1" xfId="0" applyFont="1" applyFill="1" applyBorder="1" applyAlignment="1">
      <alignment horizontal="left" vertical="center" wrapText="1"/>
    </xf>
    <xf numFmtId="301" fontId="41" fillId="18" borderId="1" xfId="0" applyNumberFormat="1" applyFont="1" applyFill="1" applyBorder="1" applyAlignment="1">
      <alignment horizontal="center" vertical="center"/>
    </xf>
    <xf numFmtId="303" fontId="41" fillId="19" borderId="1" xfId="0" applyFont="1" applyFill="1" applyBorder="1" applyAlignment="1">
      <alignment horizontal="center" vertical="center" wrapText="1"/>
    </xf>
    <xf numFmtId="303" fontId="41" fillId="19" borderId="1" xfId="0" applyFont="1" applyFill="1" applyBorder="1" applyAlignment="1">
      <alignment horizontal="left" vertical="center" wrapText="1"/>
    </xf>
    <xf numFmtId="301" fontId="41" fillId="19" borderId="1" xfId="0" applyNumberFormat="1" applyFont="1" applyFill="1" applyBorder="1" applyAlignment="1">
      <alignment horizontal="center" vertical="center"/>
    </xf>
    <xf numFmtId="303" fontId="41" fillId="20" borderId="1" xfId="0" applyFont="1" applyFill="1" applyBorder="1" applyAlignment="1">
      <alignment horizontal="center" vertical="center" wrapText="1"/>
    </xf>
    <xf numFmtId="303" fontId="41" fillId="20" borderId="1" xfId="0" applyFont="1" applyFill="1" applyBorder="1" applyAlignment="1">
      <alignment horizontal="left" vertical="center" wrapText="1"/>
    </xf>
    <xf numFmtId="301" fontId="41" fillId="20" borderId="1" xfId="0" applyNumberFormat="1" applyFont="1" applyFill="1" applyBorder="1" applyAlignment="1">
      <alignment horizontal="center" vertical="center"/>
    </xf>
    <xf numFmtId="303" fontId="41" fillId="21" borderId="1" xfId="0" applyFont="1" applyFill="1" applyBorder="1" applyAlignment="1">
      <alignment horizontal="center" vertical="center" wrapText="1"/>
    </xf>
    <xf numFmtId="303" fontId="41" fillId="21" borderId="1" xfId="0" applyFont="1" applyFill="1" applyBorder="1" applyAlignment="1">
      <alignment horizontal="left" vertical="center" wrapText="1"/>
    </xf>
    <xf numFmtId="301" fontId="41" fillId="21" borderId="1" xfId="0" applyNumberFormat="1" applyFont="1" applyFill="1" applyBorder="1" applyAlignment="1">
      <alignment horizontal="center" vertical="center"/>
    </xf>
    <xf numFmtId="303" fontId="41" fillId="22" borderId="1" xfId="0" applyFont="1" applyFill="1" applyBorder="1" applyAlignment="1">
      <alignment horizontal="center" vertical="center" wrapText="1"/>
    </xf>
    <xf numFmtId="303" fontId="41" fillId="22" borderId="1" xfId="0" applyFont="1" applyFill="1" applyBorder="1" applyAlignment="1">
      <alignment horizontal="left" vertical="center" wrapText="1"/>
    </xf>
    <xf numFmtId="301" fontId="41" fillId="22" borderId="1" xfId="0" applyNumberFormat="1" applyFont="1" applyFill="1" applyBorder="1" applyAlignment="1">
      <alignment horizontal="center" vertical="center"/>
    </xf>
    <xf numFmtId="303" fontId="41" fillId="23" borderId="1" xfId="0" applyFont="1" applyFill="1" applyBorder="1" applyAlignment="1">
      <alignment horizontal="center" vertical="center"/>
    </xf>
    <xf numFmtId="303" fontId="41" fillId="23" borderId="1" xfId="0" applyFont="1" applyFill="1" applyBorder="1" applyAlignment="1">
      <alignment horizontal="left" vertical="center"/>
    </xf>
    <xf numFmtId="301" fontId="41" fillId="23" borderId="1" xfId="0" applyNumberFormat="1" applyFont="1" applyFill="1" applyBorder="1" applyAlignment="1">
      <alignment horizontal="center" vertical="center"/>
    </xf>
    <xf numFmtId="303" fontId="42" fillId="2" borderId="1" xfId="0" applyFont="1" applyFill="1" applyBorder="1" applyAlignment="1">
      <alignment horizontal="center" vertical="center"/>
    </xf>
    <xf numFmtId="303" fontId="53" fillId="8" borderId="1" xfId="0" applyFill="1" applyBorder="1" applyAlignment="1">
      <alignment vertical="center" wrapText="1"/>
    </xf>
    <xf numFmtId="303" fontId="53" fillId="8" borderId="1" xfId="0" applyFill="1" applyBorder="1" applyAlignment="1">
      <alignment horizontal="center" vertical="center"/>
    </xf>
    <xf numFmtId="303" fontId="43" fillId="2" borderId="11" xfId="3" applyFont="1" applyFill="1" applyAlignment="1">
      <alignment horizontal="center" vertical="center" wrapText="1"/>
    </xf>
    <xf numFmtId="303" fontId="17" fillId="2" borderId="11" xfId="3" applyFill="1"/>
    <xf numFmtId="303" fontId="44" fillId="2" borderId="11" xfId="3" applyFont="1" applyFill="1"/>
    <xf numFmtId="303" fontId="45" fillId="2" borderId="9" xfId="3" applyFont="1" applyFill="1" applyBorder="1" applyAlignment="1">
      <alignment horizontal="center" vertical="center" wrapText="1"/>
    </xf>
    <xf numFmtId="303" fontId="46" fillId="22" borderId="9" xfId="3" applyFont="1" applyFill="1" applyBorder="1" applyAlignment="1">
      <alignment horizontal="center" vertical="center" wrapText="1"/>
    </xf>
    <xf numFmtId="303" fontId="46" fillId="22" borderId="9" xfId="3" applyFont="1" applyFill="1" applyBorder="1" applyAlignment="1">
      <alignment horizontal="left" vertical="center" wrapText="1"/>
    </xf>
    <xf numFmtId="302" fontId="46" fillId="22" borderId="9" xfId="3" applyNumberFormat="1" applyFont="1" applyFill="1" applyBorder="1" applyAlignment="1">
      <alignment horizontal="center" vertical="center" wrapText="1"/>
    </xf>
    <xf numFmtId="1" fontId="46" fillId="22" borderId="9" xfId="3" applyNumberFormat="1" applyFont="1" applyFill="1" applyBorder="1" applyAlignment="1">
      <alignment horizontal="center" vertical="center" wrapText="1"/>
    </xf>
    <xf numFmtId="301" fontId="46" fillId="22" borderId="9" xfId="3" applyNumberFormat="1" applyFont="1" applyFill="1" applyBorder="1" applyAlignment="1">
      <alignment horizontal="center" vertical="center" wrapText="1"/>
    </xf>
    <xf numFmtId="303" fontId="17" fillId="26" borderId="9" xfId="3" applyBorder="1" applyAlignment="1">
      <alignment horizontal="left" vertical="center" wrapText="1"/>
    </xf>
    <xf numFmtId="9" fontId="17" fillId="2" borderId="10" xfId="0" applyNumberFormat="1" applyFont="1" applyFill="1" applyBorder="1" applyAlignment="1">
      <alignment horizontal="center" vertical="center"/>
    </xf>
    <xf numFmtId="303" fontId="47" fillId="19" borderId="9" xfId="3" applyFont="1" applyFill="1" applyBorder="1" applyAlignment="1">
      <alignment horizontal="center" vertical="center" wrapText="1"/>
    </xf>
    <xf numFmtId="303" fontId="47" fillId="19" borderId="9" xfId="3" applyFont="1" applyFill="1" applyBorder="1" applyAlignment="1">
      <alignment horizontal="left" vertical="center" wrapText="1"/>
    </xf>
    <xf numFmtId="302" fontId="47" fillId="19" borderId="9" xfId="3" applyNumberFormat="1" applyFont="1" applyFill="1" applyBorder="1" applyAlignment="1">
      <alignment horizontal="center" vertical="center" wrapText="1"/>
    </xf>
    <xf numFmtId="1" fontId="47" fillId="19" borderId="9" xfId="3" applyNumberFormat="1" applyFont="1" applyFill="1" applyBorder="1" applyAlignment="1">
      <alignment horizontal="center" vertical="center" wrapText="1"/>
    </xf>
    <xf numFmtId="301" fontId="47" fillId="19" borderId="9" xfId="3" applyNumberFormat="1" applyFont="1" applyFill="1" applyBorder="1" applyAlignment="1">
      <alignment horizontal="center" vertical="center" wrapText="1"/>
    </xf>
    <xf numFmtId="303" fontId="17" fillId="26" borderId="9" xfId="3" applyBorder="1" applyAlignment="1">
      <alignment horizontal="center" vertical="center" wrapText="1"/>
    </xf>
    <xf numFmtId="302" fontId="17" fillId="26" borderId="9" xfId="3" applyNumberFormat="1" applyBorder="1" applyAlignment="1">
      <alignment horizontal="center" vertical="center" wrapText="1"/>
    </xf>
    <xf numFmtId="1" fontId="17" fillId="26" borderId="9" xfId="3" applyNumberFormat="1" applyBorder="1" applyAlignment="1">
      <alignment horizontal="center" vertical="center" wrapText="1"/>
    </xf>
    <xf numFmtId="301" fontId="17" fillId="26" borderId="9" xfId="3" applyNumberFormat="1" applyBorder="1" applyAlignment="1">
      <alignment horizontal="center" vertical="center" wrapText="1"/>
    </xf>
    <xf numFmtId="9" fontId="48" fillId="23" borderId="10" xfId="0" applyNumberFormat="1" applyFont="1" applyFill="1" applyBorder="1" applyAlignment="1">
      <alignment horizontal="center" vertical="center"/>
    </xf>
    <xf numFmtId="9" fontId="17" fillId="8" borderId="10" xfId="0" applyNumberFormat="1" applyFont="1" applyFill="1" applyBorder="1" applyAlignment="1">
      <alignment horizontal="center" vertical="center"/>
    </xf>
    <xf numFmtId="9" fontId="49" fillId="8" borderId="10" xfId="0" applyNumberFormat="1" applyFont="1" applyFill="1" applyBorder="1" applyAlignment="1">
      <alignment horizontal="center" vertical="center"/>
    </xf>
    <xf numFmtId="303" fontId="50" fillId="24" borderId="1" xfId="0" applyFont="1" applyFill="1" applyBorder="1"/>
    <xf numFmtId="303" fontId="51" fillId="0" borderId="1" xfId="0" applyFont="1" applyBorder="1"/>
    <xf fontId="52" fillId="25" borderId="0" xfId="0"/>
  </cellXfs>
  <cellStyles>
    <cellStyle name="Normal" xfId="0" builtinId="0"/>
    <cellStyle name="Comma" xfId="1" builtinId="3"/>
    <cellStyle name="Normal 2 3" xfId="2"/>
    <cellStyle name="Normal 2" xfId="3"/>
  </cellStyles>
  <dxfs count="1"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5" Type="http://schemas.openxmlformats.org/officeDocument/2006/relationships/worksheet" Target="worksheets/sheet2.xml" /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1" Type="http://schemas.openxmlformats.org/officeDocument/2006/relationships/theme" Target="theme/theme1.xml" /><Relationship Id="rId12" Type="http://schemas.openxmlformats.org/officeDocument/2006/relationships/worksheet" Target="worksheets/sheet9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9" Type="http://schemas.openxmlformats.org/officeDocument/2006/relationships/worksheet" Target="worksheets/sheet6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3" Type="http://schemas.openxmlformats.org/officeDocument/2006/relationships/externalLink" Target="externalLinks/externalLink1.xml" /></Relationships>
</file>

<file path=xl/externalLinks/_rels/externalLink1.xml.rels><?xml version="1.0" encoding="UTF-8" standalone="yes"?><Relationships xmlns="http://schemas.openxmlformats.org/package/2006/relationships"><Relationship Id="rId0" Type="http://schemas.openxmlformats.org/officeDocument/2006/relationships/externalLinkPath" Target="https://abbott-my.sharepoint.com/personal/wade_chen_abbott_com/Documents/Desktop/Rims/APP%20Resource%20Request-CA170-Rims_V0.2_20260818.xlsx" TargetMode="External"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0">
    <sheetNames>
      <sheetName val="Cover Page"/>
      <sheetName val="Change Log"/>
      <sheetName val="Azure Resource Spec"/>
      <sheetName val="Operation Request Log"/>
      <sheetName val="Azure Resource"/>
      <sheetName val="Application &amp; Network Topologic"/>
      <sheetName val="2026 cost Detail"/>
      <sheetName val="Server Access Request"/>
      <sheetName val="DB Access Request"/>
      <sheetName val="Application List"/>
      <sheetName val="Network Connectivity"/>
      <sheetName val="DropList"/>
    </sheetNames>
    <sheetDataSet>
      <sheetData sheetId="0">
        <row r="12">
          <cell r="S12" t="str">
            <v>CA254</v>
          </cell>
        </row>
        <row r="13">
          <cell r="S13" t="str">
            <v>China RIMS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Wade Chen" id="{8F0B029D-10E3-4D27-89CF-D931CAFDB316}"/>
</tc2018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O3" dT="2026-09-03T08:23:32Z" personId="{8F0B029D-10E3-4D27-89CF-D931CAFDB316}" id="{52694713-7297-4006-B12A-3971A60A6B18}">
    <tc2018:text>0:0 AM everyday by default</tc2018:text>
  </tc2018:threadedComment>
</tc2018:ThreadedComment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sheet1.xml><?xml version="1.0" encoding="utf-8"?>
<worksheet xmlns="http://schemas.openxmlformats.org/spreadsheetml/2006/main">
  <sheetPr codeName="Sheet1">
    <tabColor rgb="FF00B0F0"/>
  </sheetPr>
  <dimension ref="L11"/>
  <sheetViews>
    <sheetView showGridLines="1" workbookViewId="0"/>
  </sheetViews>
  <sheetFormatPr baseColWidth="8" defaultRowHeight="14.5"/>
  <cols>
    <col min="1" max="1" width="12" customWidth="1"/>
    <col min="2" max="2" width="33.9062" customWidth="1"/>
    <col min="3" max="3" width="50.8164" bestFit="1" customWidth="1"/>
    <col min="4" max="4" width="9.81641" customWidth="1"/>
    <col min="5" max="5" width="64.543" bestFit="1" customWidth="1"/>
    <col min="6" max="6" width="9.90625" customWidth="1"/>
    <col min="7" max="7" width="27.8164" bestFit="1" customWidth="1"/>
    <col min="8" max="8" width="49.1797" customWidth="1"/>
    <col min="9" max="9" width="28.2695" customWidth="1"/>
  </cols>
  <sheetData>
    <row r="1" spans="1:12" ht="20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</row>
    <row r="2" spans="1:1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6" t="s"/>
      <c r="K2" s="6" t="s"/>
      <c r="L2" s="6" t="s"/>
    </row>
    <row r="3" spans="1:12" ht="61" customHeight="1">
      <c r="A3" s="7" t="s">
        <v>11</v>
      </c>
      <c r="B3" s="8" t="s">
        <v>12</v>
      </c>
      <c r="C3" s="9" t="s">
        <v>13</v>
      </c>
      <c r="D3" s="10" t="s">
        <v>14</v>
      </c>
      <c r="E3" s="9" t="s">
        <v>15</v>
      </c>
      <c r="F3" s="11" t="s">
        <v>16</v>
      </c>
      <c r="G3" s="12" t="s">
        <v>17</v>
      </c>
      <c r="H3" s="13" t="s">
        <v>18</v>
      </c>
      <c r="I3" s="9" t="s">
        <v>19</v>
      </c>
      <c r="J3" s="6" t="s"/>
      <c r="K3" s="6" t="s"/>
      <c r="L3" s="6" t="s"/>
    </row>
    <row r="4" spans="1:12" ht="61" customHeight="1">
      <c r="A4" s="14" t="s">
        <v>20</v>
      </c>
      <c r="B4" s="8" t="s">
        <v>21</v>
      </c>
      <c r="C4" s="9" t="s">
        <v>22</v>
      </c>
      <c r="D4" s="10" t="s">
        <v>23</v>
      </c>
      <c r="E4" s="9" t="s">
        <v>24</v>
      </c>
      <c r="F4" s="11" t="s">
        <v>25</v>
      </c>
      <c r="G4" s="12" t="s">
        <v>26</v>
      </c>
      <c r="H4" s="13" t="s">
        <v>27</v>
      </c>
      <c r="I4" s="9" t="s">
        <v>28</v>
      </c>
      <c r="J4" s="6" t="s"/>
      <c r="K4" s="6" t="s"/>
      <c r="L4" s="6" t="s"/>
    </row>
    <row r="5" spans="1:12" ht="61" customHeight="1">
      <c r="A5" s="14" t="s">
        <v>20</v>
      </c>
      <c r="B5" s="8" t="s">
        <v>29</v>
      </c>
      <c r="C5" s="9" t="s">
        <v>30</v>
      </c>
      <c r="D5" s="10" t="s">
        <v>31</v>
      </c>
      <c r="E5" s="9" t="s">
        <v>32</v>
      </c>
      <c r="F5" s="11" t="s">
        <v>16</v>
      </c>
      <c r="G5" s="12" t="s">
        <v>33</v>
      </c>
      <c r="H5" s="13" t="s">
        <v>34</v>
      </c>
      <c r="I5" s="9" t="s">
        <v>35</v>
      </c>
      <c r="J5" s="6" t="s"/>
      <c r="K5" s="6" t="s"/>
      <c r="L5" s="6" t="s"/>
    </row>
    <row r="6" spans="1:12" ht="61" customHeight="1">
      <c r="A6" s="14" t="s">
        <v>20</v>
      </c>
      <c r="B6" s="8" t="s">
        <v>36</v>
      </c>
      <c r="C6" s="9" t="s">
        <v>37</v>
      </c>
      <c r="D6" s="10" t="s">
        <v>31</v>
      </c>
      <c r="E6" s="9" t="s">
        <v>38</v>
      </c>
      <c r="F6" s="11" t="s">
        <v>16</v>
      </c>
      <c r="G6" s="12" t="s">
        <v>39</v>
      </c>
      <c r="H6" s="13" t="s">
        <v>40</v>
      </c>
      <c r="I6" s="9" t="s">
        <v>41</v>
      </c>
      <c r="J6" s="15" t="s"/>
      <c r="K6" s="15" t="s"/>
      <c r="L6" s="15" t="s"/>
    </row>
    <row r="7" spans="1:12" ht="61" customHeight="1">
      <c r="A7" s="16" t="s">
        <v>42</v>
      </c>
      <c r="B7" s="8" t="s">
        <v>43</v>
      </c>
      <c r="C7" s="9" t="s">
        <v>44</v>
      </c>
      <c r="D7" s="10" t="s">
        <v>45</v>
      </c>
      <c r="E7" s="9" t="s">
        <v>46</v>
      </c>
      <c r="F7" s="11" t="s">
        <v>16</v>
      </c>
      <c r="G7" s="12" t="s">
        <v>47</v>
      </c>
      <c r="H7" s="13" t="s">
        <v>48</v>
      </c>
      <c r="I7" s="9" t="s">
        <v>49</v>
      </c>
      <c r="J7" s="6" t="s"/>
      <c r="K7" s="6" t="s"/>
      <c r="L7" s="6" t="s"/>
    </row>
    <row r="8" spans="1:12" ht="61" customHeight="1">
      <c r="A8" s="16" t="s">
        <v>42</v>
      </c>
      <c r="B8" s="8" t="s">
        <v>50</v>
      </c>
      <c r="C8" s="9" t="s">
        <v>51</v>
      </c>
      <c r="D8" s="10" t="s">
        <v>52</v>
      </c>
      <c r="E8" s="9" t="s">
        <v>53</v>
      </c>
      <c r="F8" s="11" t="s">
        <v>54</v>
      </c>
      <c r="G8" s="12" t="s">
        <v>55</v>
      </c>
      <c r="H8" s="13" t="s">
        <v>56</v>
      </c>
      <c r="I8" s="9" t="s">
        <v>57</v>
      </c>
      <c r="J8" s="6" t="s"/>
      <c r="K8" s="6" t="s"/>
      <c r="L8" s="6" t="s"/>
    </row>
    <row r="9" spans="1:12" ht="61" customHeight="1">
      <c r="A9" s="16" t="s">
        <v>42</v>
      </c>
      <c r="B9" s="8" t="s">
        <v>58</v>
      </c>
      <c r="C9" s="9" t="s">
        <v>59</v>
      </c>
      <c r="D9" s="10" t="s">
        <v>60</v>
      </c>
      <c r="E9" s="9" t="s">
        <v>61</v>
      </c>
      <c r="F9" s="11" t="s">
        <v>16</v>
      </c>
      <c r="G9" s="12" t="s">
        <v>62</v>
      </c>
      <c r="H9" s="13" t="s">
        <v>63</v>
      </c>
      <c r="I9" s="9" t="s">
        <v>64</v>
      </c>
      <c r="J9" s="6" t="s"/>
      <c r="K9" s="6" t="s"/>
      <c r="L9" s="6" t="s"/>
    </row>
    <row r="10" spans="1:12" ht="61" customHeight="1">
      <c r="A10" s="17" t="s">
        <v>65</v>
      </c>
      <c r="B10" s="8" t="s">
        <v>66</v>
      </c>
      <c r="C10" s="9" t="s">
        <v>67</v>
      </c>
      <c r="D10" s="10" t="s">
        <v>68</v>
      </c>
      <c r="E10" s="9" t="s">
        <v>69</v>
      </c>
      <c r="F10" s="11" t="s">
        <v>16</v>
      </c>
      <c r="G10" s="12" t="s">
        <v>70</v>
      </c>
      <c r="H10" s="13" t="s">
        <v>71</v>
      </c>
      <c r="I10" s="9" t="s">
        <v>72</v>
      </c>
      <c r="J10" s="6" t="s"/>
      <c r="K10" s="6" t="s"/>
      <c r="L10" s="6" t="s"/>
    </row>
    <row r="11" spans="1:12" ht="61" customHeight="1">
      <c r="A11" s="17" t="s">
        <v>65</v>
      </c>
      <c r="B11" s="8" t="s">
        <v>73</v>
      </c>
      <c r="C11" s="9" t="s">
        <v>74</v>
      </c>
      <c r="D11" s="10" t="s">
        <v>75</v>
      </c>
      <c r="E11" s="9" t="s">
        <v>76</v>
      </c>
      <c r="F11" s="11" t="s">
        <v>16</v>
      </c>
      <c r="G11" s="12" t="s">
        <v>77</v>
      </c>
      <c r="H11" s="13" t="s">
        <v>78</v>
      </c>
      <c r="I11" s="9" t="s">
        <v>79</v>
      </c>
      <c r="J11" s="6" t="s"/>
      <c r="K11" s="6" t="s"/>
      <c r="L11" s="6" t="s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tabColor theme="0"/>
  </sheetPr>
  <dimension ref="F28"/>
  <sheetViews>
    <sheetView showGridLines="1" tabSelected="0" zoomScaleNormal="100" workbookViewId="0"/>
  </sheetViews>
  <sheetFormatPr baseColWidth="8" defaultRowHeight="14.5"/>
  <cols>
    <col min="1" max="1" width="23.1797" bestFit="1" customWidth="1"/>
    <col min="2" max="2" width="32.3633" bestFit="1" customWidth="1"/>
    <col min="3" max="3" width="31.6328" customWidth="1"/>
    <col min="4" max="4" width="25.4531" customWidth="1"/>
    <col min="5" max="5" width="29.2695" bestFit="1" customWidth="1"/>
    <col min="6" max="6" width="85.4531" customWidth="1"/>
  </cols>
  <sheetData>
    <row r="1" spans="1:6">
      <c r="A1" s="18" t="s">
        <v>80</v>
      </c>
      <c r="B1" s="18" t="s">
        <v>81</v>
      </c>
      <c r="C1" s="18" t="s">
        <v>82</v>
      </c>
      <c r="D1" s="18" t="s">
        <v>83</v>
      </c>
      <c r="E1" s="18" t="s">
        <v>84</v>
      </c>
      <c r="F1" s="18" t="s">
        <v>85</v>
      </c>
    </row>
    <row r="2" spans="1:6" ht="28" customHeight="1">
      <c r="A2" s="19" t="s">
        <v>86</v>
      </c>
      <c r="B2" s="19" t="s">
        <v>87</v>
      </c>
      <c r="C2" s="19" t="s">
        <v>88</v>
      </c>
      <c r="D2" s="19" t="s">
        <v>89</v>
      </c>
      <c r="E2" s="20" t="s">
        <v>90</v>
      </c>
      <c r="F2" s="20" t="s">
        <v>91</v>
      </c>
    </row>
    <row r="3" spans="1:6" ht="28" customHeight="1">
      <c r="A3" s="19" t="s">
        <v>86</v>
      </c>
      <c r="B3" s="19" t="s">
        <v>87</v>
      </c>
      <c r="C3" s="19" t="s">
        <v>88</v>
      </c>
      <c r="D3" s="19" t="s">
        <v>89</v>
      </c>
      <c r="E3" s="20" t="s">
        <v>92</v>
      </c>
      <c r="F3" s="20" t="s">
        <v>93</v>
      </c>
    </row>
    <row r="4" spans="1:6" ht="28" customHeight="1">
      <c r="A4" s="19" t="s">
        <v>86</v>
      </c>
      <c r="B4" s="19" t="s">
        <v>87</v>
      </c>
      <c r="C4" s="19" t="s">
        <v>88</v>
      </c>
      <c r="D4" s="19" t="s">
        <v>94</v>
      </c>
      <c r="E4" s="20" t="s">
        <v>95</v>
      </c>
      <c r="F4" s="20" t="s">
        <v>96</v>
      </c>
    </row>
    <row r="5" spans="1:6" ht="28" customHeight="1">
      <c r="A5" s="19" t="s">
        <v>86</v>
      </c>
      <c r="B5" s="19" t="s">
        <v>87</v>
      </c>
      <c r="C5" s="19" t="s">
        <v>97</v>
      </c>
      <c r="D5" s="19" t="s">
        <v>98</v>
      </c>
      <c r="E5" s="20" t="s">
        <v>99</v>
      </c>
      <c r="F5" s="20" t="s">
        <v>100</v>
      </c>
    </row>
    <row r="6" spans="1:6" ht="28" customHeight="1">
      <c r="A6" s="19" t="s">
        <v>86</v>
      </c>
      <c r="B6" s="19" t="s">
        <v>87</v>
      </c>
      <c r="C6" s="19" t="s">
        <v>97</v>
      </c>
      <c r="D6" s="19" t="s">
        <v>98</v>
      </c>
      <c r="E6" s="20" t="s">
        <v>101</v>
      </c>
      <c r="F6" s="20" t="s">
        <v>102</v>
      </c>
    </row>
    <row r="7" spans="1:6" ht="28" customHeight="1">
      <c r="A7" s="19" t="s">
        <v>86</v>
      </c>
      <c r="B7" s="19" t="s">
        <v>103</v>
      </c>
      <c r="C7" s="19" t="s">
        <v>104</v>
      </c>
      <c r="D7" s="19" t="s">
        <v>105</v>
      </c>
      <c r="E7" s="20" t="s">
        <v>106</v>
      </c>
      <c r="F7" s="20" t="s">
        <v>107</v>
      </c>
    </row>
    <row r="8" spans="1:6" ht="28" customHeight="1">
      <c r="A8" s="19" t="s">
        <v>86</v>
      </c>
      <c r="B8" s="19" t="s">
        <v>103</v>
      </c>
      <c r="C8" s="19" t="s">
        <v>104</v>
      </c>
      <c r="D8" s="19" t="s">
        <v>105</v>
      </c>
      <c r="E8" s="20" t="s">
        <v>108</v>
      </c>
      <c r="F8" s="20" t="s">
        <v>109</v>
      </c>
    </row>
    <row r="9" spans="1:6" ht="28" customHeight="1">
      <c r="A9" s="19" t="s">
        <v>86</v>
      </c>
      <c r="B9" s="19" t="s">
        <v>110</v>
      </c>
      <c r="C9" s="19" t="s">
        <v>111</v>
      </c>
      <c r="D9" s="19" t="s">
        <v>112</v>
      </c>
      <c r="E9" s="20" t="s">
        <v>113</v>
      </c>
      <c r="F9" s="20" t="s">
        <v>114</v>
      </c>
    </row>
    <row r="10" spans="1:6" ht="28" customHeight="1">
      <c r="A10" s="19" t="s">
        <v>86</v>
      </c>
      <c r="B10" s="19" t="s">
        <v>110</v>
      </c>
      <c r="C10" s="19" t="s">
        <v>111</v>
      </c>
      <c r="D10" s="19" t="s">
        <v>112</v>
      </c>
      <c r="E10" s="20" t="s">
        <v>115</v>
      </c>
      <c r="F10" s="20" t="s">
        <v>116</v>
      </c>
    </row>
    <row r="11" spans="1:6" ht="28" customHeight="1">
      <c r="A11" s="19" t="s">
        <v>86</v>
      </c>
      <c r="B11" s="19" t="s">
        <v>110</v>
      </c>
      <c r="C11" s="19" t="s">
        <v>111</v>
      </c>
      <c r="D11" s="19" t="s">
        <v>112</v>
      </c>
      <c r="E11" s="20" t="s">
        <v>117</v>
      </c>
      <c r="F11" s="20" t="s">
        <v>118</v>
      </c>
    </row>
    <row r="12" spans="1:6" ht="28" customHeight="1">
      <c r="A12" s="19" t="s">
        <v>86</v>
      </c>
      <c r="B12" s="19" t="s">
        <v>110</v>
      </c>
      <c r="C12" s="19" t="s">
        <v>111</v>
      </c>
      <c r="D12" s="19" t="s">
        <v>119</v>
      </c>
      <c r="E12" s="20" t="s">
        <v>120</v>
      </c>
      <c r="F12" s="20" t="s">
        <v>121</v>
      </c>
    </row>
    <row r="13" spans="1:6" ht="28" customHeight="1">
      <c r="A13" s="19" t="s">
        <v>86</v>
      </c>
      <c r="B13" s="19" t="s">
        <v>110</v>
      </c>
      <c r="C13" s="19" t="s">
        <v>111</v>
      </c>
      <c r="D13" s="19" t="s">
        <v>119</v>
      </c>
      <c r="E13" s="20" t="s">
        <v>122</v>
      </c>
      <c r="F13" s="20" t="s">
        <v>123</v>
      </c>
    </row>
    <row r="14" spans="1:6" ht="28" customHeight="1">
      <c r="A14" s="19" t="s">
        <v>86</v>
      </c>
      <c r="B14" s="19" t="s">
        <v>124</v>
      </c>
      <c r="C14" s="19" t="s">
        <v>125</v>
      </c>
      <c r="D14" s="19" t="s">
        <v>126</v>
      </c>
      <c r="E14" s="20" t="s">
        <v>127</v>
      </c>
      <c r="F14" s="20" t="s">
        <v>128</v>
      </c>
    </row>
    <row r="15" spans="1:6" ht="28" customHeight="1">
      <c r="A15" s="19" t="s">
        <v>86</v>
      </c>
      <c r="B15" s="19" t="s">
        <v>124</v>
      </c>
      <c r="C15" s="19" t="s">
        <v>125</v>
      </c>
      <c r="D15" s="19" t="s">
        <v>126</v>
      </c>
      <c r="E15" s="20" t="s">
        <v>129</v>
      </c>
      <c r="F15" s="20" t="s">
        <v>130</v>
      </c>
    </row>
    <row r="16" spans="1:6" ht="28" customHeight="1">
      <c r="A16" s="19" t="s">
        <v>86</v>
      </c>
      <c r="B16" s="19" t="s">
        <v>124</v>
      </c>
      <c r="C16" s="19" t="s">
        <v>125</v>
      </c>
      <c r="D16" s="19" t="s">
        <v>126</v>
      </c>
      <c r="E16" s="20" t="s">
        <v>131</v>
      </c>
      <c r="F16" s="20" t="s">
        <v>132</v>
      </c>
    </row>
    <row r="17" spans="1:6" ht="28" customHeight="1">
      <c r="A17" s="19" t="s">
        <v>86</v>
      </c>
      <c r="B17" s="19" t="s">
        <v>133</v>
      </c>
      <c r="C17" s="19" t="s">
        <v>125</v>
      </c>
      <c r="D17" s="19" t="s">
        <v>134</v>
      </c>
      <c r="E17" s="20" t="s">
        <v>135</v>
      </c>
      <c r="F17" s="20" t="s">
        <v>136</v>
      </c>
    </row>
    <row r="18" spans="1:6" ht="28" customHeight="1">
      <c r="A18" s="19" t="s">
        <v>86</v>
      </c>
      <c r="B18" s="19" t="s">
        <v>133</v>
      </c>
      <c r="C18" s="19" t="s">
        <v>125</v>
      </c>
      <c r="D18" s="19" t="s">
        <v>134</v>
      </c>
      <c r="E18" s="20" t="s">
        <v>137</v>
      </c>
      <c r="F18" s="20" t="s">
        <v>138</v>
      </c>
    </row>
    <row r="19" spans="1:6" ht="28" customHeight="1">
      <c r="A19" s="19" t="s">
        <v>86</v>
      </c>
      <c r="B19" s="19" t="s">
        <v>133</v>
      </c>
      <c r="C19" s="19" t="s">
        <v>139</v>
      </c>
      <c r="D19" s="19" t="s">
        <v>140</v>
      </c>
      <c r="E19" s="20" t="s">
        <v>141</v>
      </c>
      <c r="F19" s="20" t="s">
        <v>142</v>
      </c>
    </row>
    <row r="20" spans="1:6" ht="28" customHeight="1">
      <c r="A20" s="19" t="s">
        <v>86</v>
      </c>
      <c r="B20" s="19" t="s">
        <v>133</v>
      </c>
      <c r="C20" s="19" t="s">
        <v>139</v>
      </c>
      <c r="D20" s="19" t="s">
        <v>140</v>
      </c>
      <c r="E20" s="20" t="s">
        <v>143</v>
      </c>
      <c r="F20" s="20" t="s">
        <v>144</v>
      </c>
    </row>
    <row r="21" spans="1:6" ht="28" customHeight="1">
      <c r="A21" s="19" t="s">
        <v>86</v>
      </c>
      <c r="B21" s="19" t="s">
        <v>133</v>
      </c>
      <c r="C21" s="19" t="s">
        <v>139</v>
      </c>
      <c r="D21" s="19" t="s">
        <v>140</v>
      </c>
      <c r="E21" s="20" t="s">
        <v>145</v>
      </c>
      <c r="F21" s="20" t="s">
        <v>146</v>
      </c>
    </row>
    <row r="22" spans="1:6" ht="28" customHeight="1">
      <c r="A22" s="19" t="s">
        <v>86</v>
      </c>
      <c r="B22" s="19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</row>
    <row r="23" spans="1:6" ht="28" customHeight="1">
      <c r="A23" s="19" t="s">
        <v>86</v>
      </c>
      <c r="B23" s="19" t="s">
        <v>147</v>
      </c>
      <c r="C23" s="19" t="s">
        <v>148</v>
      </c>
      <c r="D23" s="19" t="s">
        <v>149</v>
      </c>
      <c r="E23" s="20" t="s">
        <v>152</v>
      </c>
      <c r="F23" s="20" t="s">
        <v>153</v>
      </c>
    </row>
    <row r="24" spans="1:6" ht="28" customHeight="1">
      <c r="A24" s="19" t="s">
        <v>86</v>
      </c>
      <c r="B24" s="19" t="s">
        <v>154</v>
      </c>
      <c r="C24" s="19" t="s">
        <v>155</v>
      </c>
      <c r="D24" s="19" t="s">
        <v>156</v>
      </c>
      <c r="E24" s="20" t="s">
        <v>157</v>
      </c>
      <c r="F24" s="20" t="s">
        <v>158</v>
      </c>
    </row>
    <row r="25" spans="1:6" ht="28" customHeight="1">
      <c r="A25" s="19" t="s">
        <v>86</v>
      </c>
      <c r="B25" s="19" t="s">
        <v>154</v>
      </c>
      <c r="C25" s="19" t="s">
        <v>155</v>
      </c>
      <c r="D25" s="19" t="s">
        <v>156</v>
      </c>
      <c r="E25" s="20" t="s">
        <v>159</v>
      </c>
      <c r="F25" s="20" t="s">
        <v>160</v>
      </c>
    </row>
    <row r="26" spans="1:6" ht="28" customHeight="1">
      <c r="A26" s="19" t="s">
        <v>86</v>
      </c>
      <c r="B26" s="19" t="s">
        <v>103</v>
      </c>
      <c r="C26" s="19" t="s">
        <v>161</v>
      </c>
      <c r="D26" s="19" t="s">
        <v>162</v>
      </c>
      <c r="E26" s="20" t="s">
        <v>163</v>
      </c>
      <c r="F26" s="20" t="s">
        <v>164</v>
      </c>
    </row>
    <row r="27" spans="1:6" ht="28" customHeight="1">
      <c r="A27" s="19" t="s">
        <v>86</v>
      </c>
      <c r="B27" s="19" t="s">
        <v>103</v>
      </c>
      <c r="C27" s="19" t="s">
        <v>161</v>
      </c>
      <c r="D27" s="19" t="s">
        <v>162</v>
      </c>
      <c r="E27" s="20" t="s">
        <v>165</v>
      </c>
      <c r="F27" s="20" t="s">
        <v>166</v>
      </c>
    </row>
    <row r="28" spans="1:1">
      <c r="A28" s="21" t="s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3">
    <tabColor theme="0"/>
  </sheetPr>
  <dimension ref="Q20"/>
  <sheetViews>
    <sheetView showGridLines="1" workbookViewId="0"/>
  </sheetViews>
  <sheetFormatPr baseColWidth="8" defaultRowHeight="14.5"/>
  <cols>
    <col min="1" max="1" width="21.7266" bestFit="1" customWidth="1"/>
    <col min="2" max="2" width="14.543" bestFit="1" customWidth="1"/>
    <col min="3" max="3" width="10.0898" bestFit="1" customWidth="1"/>
    <col min="4" max="4" width="43.543" bestFit="1" customWidth="1"/>
    <col min="5" max="5" width="26.543" bestFit="1" customWidth="1"/>
    <col min="6" max="6" width="12.3633" customWidth="1"/>
    <col min="7" max="7" width="11" customWidth="1"/>
    <col min="8" max="8" width="7.72656" bestFit="1" customWidth="1"/>
    <col min="9" max="17" width="11" customWidth="1"/>
  </cols>
  <sheetData>
    <row r="1" spans="1:17" ht="23.5">
      <c r="A1" s="22" t="s">
        <v>167</v>
      </c>
      <c r="B1" s="22" t="e">
        <f>='[1]Cover Page'!S12</f>
        <v>#REF!</v>
      </c>
      <c r="C1" s="22" t="s">
        <v>169</v>
      </c>
      <c r="D1" s="22" t="e">
        <f>='[1]Cover Page'!S13</f>
        <v>#REF!</v>
      </c>
      <c r="E1" s="23" t="s"/>
      <c r="F1" s="23" t="s"/>
      <c r="G1" s="23" t="s"/>
      <c r="H1" s="23" t="s"/>
      <c r="I1" s="23" t="s"/>
      <c r="J1" s="23" t="s"/>
      <c r="K1" s="23" t="s"/>
      <c r="L1" s="23" t="s"/>
      <c r="M1" s="23" t="s"/>
      <c r="N1" s="23" t="s"/>
      <c r="O1" s="23" t="s"/>
      <c r="P1" s="24" t="s"/>
      <c r="Q1" s="24" t="s"/>
    </row>
    <row r="2" spans="1:17" ht="18.5">
      <c r="A2" s="25" t="s">
        <v>171</v>
      </c>
      <c r="B2" s="25" t="s"/>
      <c r="C2" s="25" t="s"/>
      <c r="D2" s="25" t="s"/>
      <c r="E2" s="25" t="s"/>
      <c r="F2" s="25" t="s"/>
      <c r="G2" s="25" t="s"/>
      <c r="H2" s="25" t="s"/>
      <c r="I2" s="25" t="s"/>
      <c r="J2" s="25" t="s"/>
      <c r="K2" s="25" t="s"/>
      <c r="L2" s="25" t="s"/>
      <c r="M2" s="25" t="s"/>
      <c r="N2" s="25" t="s"/>
      <c r="O2" s="25" t="s"/>
      <c r="P2" s="25" t="s"/>
      <c r="Q2" s="25" t="s"/>
    </row>
    <row r="3" spans="1:17" ht="39">
      <c r="A3" s="26" t="s">
        <v>172</v>
      </c>
      <c r="B3" s="26" t="s">
        <v>173</v>
      </c>
      <c r="C3" s="26" t="s">
        <v>174</v>
      </c>
      <c r="D3" s="26" t="s">
        <v>175</v>
      </c>
      <c r="E3" s="26" t="s">
        <v>1332</v>
      </c>
      <c r="F3" s="26" t="s">
        <v>1333</v>
      </c>
      <c r="G3" s="26" t="s">
        <v>1334</v>
      </c>
      <c r="H3" s="26" t="s">
        <v>176</v>
      </c>
      <c r="I3" s="26" t="s">
        <v>177</v>
      </c>
      <c r="J3" s="26" t="s">
        <v>178</v>
      </c>
      <c r="K3" s="26" t="s">
        <v>1335</v>
      </c>
      <c r="L3" s="26" t="s">
        <v>1336</v>
      </c>
      <c r="M3" s="26" t="s">
        <v>1337</v>
      </c>
      <c r="N3" s="26" t="s">
        <v>1338</v>
      </c>
      <c r="O3" s="26" t="s">
        <v>179</v>
      </c>
      <c r="P3" s="26" t="s">
        <v>180</v>
      </c>
      <c r="Q3" s="26" t="s">
        <v>181</v>
      </c>
    </row>
    <row r="4" spans="1:17" ht="27.5" customHeight="1">
      <c r="A4" s="27" t="s">
        <v>182</v>
      </c>
      <c r="B4" s="28" t="s">
        <v>183</v>
      </c>
      <c r="C4" s="29" t="s">
        <v>184</v>
      </c>
      <c r="D4" s="30" t="s">
        <v>1339</v>
      </c>
      <c r="E4" s="30" t="s">
        <v>185</v>
      </c>
      <c r="F4" s="30" t="s"/>
      <c r="G4" s="31">
        <v>1</v>
      </c>
      <c r="H4" s="32" t="s">
        <v>186</v>
      </c>
      <c r="I4" s="30" t="s"/>
      <c r="J4" s="30" t="s"/>
      <c r="K4" s="30" t="s"/>
      <c r="L4" s="30" t="s"/>
      <c r="M4" s="30" t="s"/>
      <c r="N4" s="30" t="s"/>
      <c r="O4" s="30" t="s"/>
      <c r="P4" s="30" t="s"/>
      <c r="Q4" s="33" t="s"/>
    </row>
    <row r="5" spans="1:17" ht="27.5" customHeight="1">
      <c r="A5" s="34" t="s"/>
      <c r="B5" s="28" t="s">
        <v>187</v>
      </c>
      <c r="C5" s="29" t="s">
        <v>184</v>
      </c>
      <c r="D5" s="30" t="s">
        <v>188</v>
      </c>
      <c r="E5" s="30" t="s">
        <v>189</v>
      </c>
      <c r="F5" s="35" t="s"/>
      <c r="G5" s="36" t="s"/>
      <c r="H5" s="32" t="s">
        <v>186</v>
      </c>
      <c r="I5" s="30" t="s"/>
      <c r="J5" s="30" t="s"/>
      <c r="K5" s="30" t="s"/>
      <c r="L5" s="30" t="s"/>
      <c r="M5" s="30" t="s"/>
      <c r="N5" s="30" t="s"/>
      <c r="O5" s="30" t="s"/>
      <c r="P5" s="30" t="s"/>
      <c r="Q5" s="33" t="s"/>
    </row>
    <row r="6" spans="1:17" ht="27.5" customHeight="1">
      <c r="A6" s="34" t="s"/>
      <c r="B6" s="28" t="s">
        <v>187</v>
      </c>
      <c r="C6" s="29" t="s">
        <v>184</v>
      </c>
      <c r="D6" s="30" t="s">
        <v>190</v>
      </c>
      <c r="E6" s="30" t="s">
        <v>191</v>
      </c>
      <c r="F6" s="35" t="s"/>
      <c r="G6" s="36" t="s"/>
      <c r="H6" s="32" t="s">
        <v>186</v>
      </c>
      <c r="I6" s="30" t="s"/>
      <c r="J6" s="30" t="s"/>
      <c r="K6" s="30" t="s"/>
      <c r="L6" s="30" t="s"/>
      <c r="M6" s="30" t="s"/>
      <c r="N6" s="30" t="s"/>
      <c r="O6" s="30" t="s"/>
      <c r="P6" s="30" t="s"/>
      <c r="Q6" s="33" t="s"/>
    </row>
    <row r="7" spans="1:17" ht="27.5" customHeight="1">
      <c r="A7" s="34" t="s"/>
      <c r="B7" s="28" t="s">
        <v>192</v>
      </c>
      <c r="C7" s="29" t="s">
        <v>184</v>
      </c>
      <c r="D7" s="30" t="s">
        <v>193</v>
      </c>
      <c r="E7" s="30" t="s">
        <v>194</v>
      </c>
      <c r="F7" s="35" t="s"/>
      <c r="G7" s="36" t="s"/>
      <c r="H7" s="32" t="s">
        <v>186</v>
      </c>
      <c r="I7" s="30" t="s"/>
      <c r="J7" s="30" t="s"/>
      <c r="K7" s="30" t="s"/>
      <c r="L7" s="30" t="s"/>
      <c r="M7" s="30" t="s"/>
      <c r="N7" s="30" t="s"/>
      <c r="O7" s="30" t="s"/>
      <c r="P7" s="30" t="s"/>
      <c r="Q7" s="33" t="s"/>
    </row>
    <row r="8" spans="1:17" ht="27.5" customHeight="1">
      <c r="A8" s="34" t="s"/>
      <c r="B8" s="28" t="s">
        <v>183</v>
      </c>
      <c r="C8" s="29" t="s">
        <v>184</v>
      </c>
      <c r="D8" s="30" t="s">
        <v>195</v>
      </c>
      <c r="E8" s="30" t="s">
        <v>196</v>
      </c>
      <c r="F8" s="37" t="s"/>
      <c r="G8" s="36" t="s"/>
      <c r="H8" s="32" t="s">
        <v>186</v>
      </c>
      <c r="I8" s="30" t="s"/>
      <c r="J8" s="30" t="s"/>
      <c r="K8" s="30" t="s"/>
      <c r="L8" s="30" t="s"/>
      <c r="M8" s="30" t="s"/>
      <c r="N8" s="30" t="s"/>
      <c r="O8" s="30" t="s"/>
      <c r="P8" s="30" t="s"/>
      <c r="Q8" s="33" t="s"/>
    </row>
    <row r="9" spans="1:17" ht="27.5" customHeight="1">
      <c r="A9" s="34" t="s"/>
      <c r="B9" s="28" t="s">
        <v>197</v>
      </c>
      <c r="C9" s="29" t="s">
        <v>184</v>
      </c>
      <c r="D9" s="30" t="s">
        <v>198</v>
      </c>
      <c r="E9" s="30" t="s">
        <v>199</v>
      </c>
      <c r="F9" s="38" t="s"/>
      <c r="G9" s="36" t="s"/>
      <c r="H9" s="32" t="s">
        <v>186</v>
      </c>
      <c r="I9" s="30" t="s"/>
      <c r="J9" s="30" t="s"/>
      <c r="K9" s="30" t="s"/>
      <c r="L9" s="30" t="s"/>
      <c r="M9" s="30" t="s"/>
      <c r="N9" s="30" t="s"/>
      <c r="O9" s="30" t="s"/>
      <c r="P9" s="30" t="s"/>
      <c r="Q9" s="33" t="s"/>
    </row>
    <row r="10" spans="1:17" ht="27.5" customHeight="1">
      <c r="A10" s="34" t="s"/>
      <c r="B10" s="28" t="s">
        <v>183</v>
      </c>
      <c r="C10" s="29" t="s">
        <v>184</v>
      </c>
      <c r="D10" s="38" t="s">
        <v>200</v>
      </c>
      <c r="E10" s="38" t="s">
        <v>196</v>
      </c>
      <c r="F10" s="37" t="s"/>
      <c r="G10" s="36" t="s"/>
      <c r="H10" s="32" t="s">
        <v>186</v>
      </c>
      <c r="I10" s="30" t="s"/>
      <c r="J10" s="30" t="s"/>
      <c r="K10" s="30" t="s"/>
      <c r="L10" s="30" t="s"/>
      <c r="M10" s="30" t="s"/>
      <c r="N10" s="30" t="s"/>
      <c r="O10" s="30" t="s"/>
      <c r="P10" s="30" t="s"/>
      <c r="Q10" s="33" t="s"/>
    </row>
    <row r="11" spans="1:17" ht="27.5" customHeight="1">
      <c r="A11" s="34" t="s"/>
      <c r="B11" s="28" t="s">
        <v>197</v>
      </c>
      <c r="C11" s="29" t="s">
        <v>184</v>
      </c>
      <c r="D11" s="38" t="s">
        <v>201</v>
      </c>
      <c r="E11" s="38" t="s">
        <v>199</v>
      </c>
      <c r="F11" s="38" t="s"/>
      <c r="G11" s="39" t="s"/>
      <c r="H11" s="32" t="s">
        <v>186</v>
      </c>
      <c r="I11" s="30" t="s"/>
      <c r="J11" s="30" t="s"/>
      <c r="K11" s="30" t="s"/>
      <c r="L11" s="30" t="s"/>
      <c r="M11" s="30" t="s"/>
      <c r="N11" s="30" t="s"/>
      <c r="O11" s="30" t="s"/>
      <c r="P11" s="30" t="s"/>
      <c r="Q11" s="33" t="s"/>
    </row>
    <row r="12" spans="1:17" ht="27.5" customHeight="1">
      <c r="A12" s="40" t="s">
        <v>202</v>
      </c>
      <c r="B12" s="41" t="s">
        <v>202</v>
      </c>
      <c r="C12" s="29" t="s">
        <v>184</v>
      </c>
      <c r="D12" s="42" t="s">
        <v>203</v>
      </c>
      <c r="E12" s="29" t="s">
        <v>204</v>
      </c>
      <c r="F12" s="38" t="s"/>
      <c r="G12" s="32">
        <v>2</v>
      </c>
      <c r="H12" s="32" t="s">
        <v>186</v>
      </c>
      <c r="I12" s="30" t="s"/>
      <c r="J12" s="30" t="s"/>
      <c r="K12" s="30" t="s"/>
      <c r="L12" s="30" t="s"/>
      <c r="M12" s="30" t="s"/>
      <c r="N12" s="30" t="s"/>
      <c r="O12" s="30" t="s"/>
      <c r="P12" s="30" t="s"/>
      <c r="Q12" s="33" t="s"/>
    </row>
    <row r="13" spans="1:17" ht="27.5" customHeight="1">
      <c r="A13" s="40" t="s">
        <v>205</v>
      </c>
      <c r="B13" s="41" t="s">
        <v>206</v>
      </c>
      <c r="C13" s="29" t="s">
        <v>184</v>
      </c>
      <c r="D13" s="42" t="s">
        <v>207</v>
      </c>
      <c r="E13" s="29" t="s"/>
      <c r="F13" s="42" t="s"/>
      <c r="G13" s="43">
        <v>3</v>
      </c>
      <c r="H13" s="32" t="s">
        <v>186</v>
      </c>
      <c r="I13" s="29" t="s"/>
      <c r="J13" s="29" t="s"/>
      <c r="K13" s="29" t="s"/>
      <c r="L13" s="29" t="s"/>
      <c r="M13" s="29" t="s"/>
      <c r="N13" s="29" t="s"/>
      <c r="O13" s="29" t="s"/>
      <c r="P13" s="29" t="s"/>
      <c r="Q13" s="42" t="s"/>
    </row>
    <row r="14" spans="1:17" ht="27.5" customHeight="1">
      <c r="A14" s="40" t="s">
        <v>208</v>
      </c>
      <c r="B14" s="44" t="s">
        <v>209</v>
      </c>
      <c r="C14" s="29" t="s">
        <v>184</v>
      </c>
      <c r="D14" s="29" t="s">
        <v>210</v>
      </c>
      <c r="E14" s="29" t="s"/>
      <c r="F14" s="42" t="s"/>
      <c r="G14" s="32">
        <v>4</v>
      </c>
      <c r="H14" s="32" t="s">
        <v>186</v>
      </c>
      <c r="I14" s="29" t="s"/>
      <c r="J14" s="29" t="s"/>
      <c r="K14" s="29" t="s"/>
      <c r="L14" s="29" t="s"/>
      <c r="M14" s="29" t="s"/>
      <c r="N14" s="29" t="s"/>
      <c r="O14" s="29" t="s"/>
      <c r="P14" s="29" t="s"/>
      <c r="Q14" s="42" t="s"/>
    </row>
    <row r="15" spans="1:17" ht="27.5" customHeight="1">
      <c r="A15" s="40" t="s">
        <v>211</v>
      </c>
      <c r="B15" s="44" t="s">
        <v>209</v>
      </c>
      <c r="C15" s="29" t="s">
        <v>184</v>
      </c>
      <c r="D15" s="29" t="s">
        <v>212</v>
      </c>
      <c r="E15" s="29" t="s"/>
      <c r="F15" s="42" t="s"/>
      <c r="G15" s="43">
        <v>5</v>
      </c>
      <c r="H15" s="32" t="s">
        <v>186</v>
      </c>
      <c r="I15" s="29" t="s"/>
      <c r="J15" s="29" t="s"/>
      <c r="K15" s="29" t="s"/>
      <c r="L15" s="29" t="s"/>
      <c r="M15" s="29" t="s"/>
      <c r="N15" s="29" t="s"/>
      <c r="O15" s="29" t="s"/>
      <c r="P15" s="29" t="s"/>
      <c r="Q15" s="42" t="s"/>
    </row>
    <row r="16" spans="1:17" ht="27.5" customHeight="1">
      <c r="A16" s="40" t="s">
        <v>213</v>
      </c>
      <c r="B16" s="41" t="s">
        <v>213</v>
      </c>
      <c r="C16" s="29" t="s">
        <v>184</v>
      </c>
      <c r="D16" s="41" t="s">
        <v>214</v>
      </c>
      <c r="E16" s="44" t="s"/>
      <c r="F16" s="44" t="s"/>
      <c r="G16" s="32">
        <v>6</v>
      </c>
      <c r="H16" s="32" t="s">
        <v>186</v>
      </c>
      <c r="I16" s="44" t="s"/>
      <c r="J16" s="44" t="s"/>
      <c r="K16" s="44" t="s"/>
      <c r="L16" s="44" t="s"/>
      <c r="M16" s="44" t="s"/>
      <c r="N16" s="44" t="s"/>
      <c r="O16" s="44" t="s"/>
      <c r="P16" s="44" t="s"/>
      <c r="Q16" s="44" t="s"/>
    </row>
    <row r="17" spans="1:17" ht="27.5" customHeight="1">
      <c r="A17" s="40" t="s">
        <v>215</v>
      </c>
      <c r="B17" s="45" t="s">
        <v>216</v>
      </c>
      <c r="C17" s="29" t="s">
        <v>184</v>
      </c>
      <c r="D17" s="41" t="s">
        <v>217</v>
      </c>
      <c r="E17" s="41" t="s">
        <v>218</v>
      </c>
      <c r="F17" s="44" t="s"/>
      <c r="G17" s="43">
        <v>7</v>
      </c>
      <c r="H17" s="32" t="s">
        <v>186</v>
      </c>
      <c r="I17" s="44" t="s"/>
      <c r="J17" s="44" t="s"/>
      <c r="K17" s="44" t="s"/>
      <c r="L17" s="44" t="s"/>
      <c r="M17" s="44" t="s"/>
      <c r="N17" s="44" t="s"/>
      <c r="O17" s="44" t="s"/>
      <c r="P17" s="44" t="s"/>
      <c r="Q17" s="44" t="s"/>
    </row>
    <row r="18" spans="1:17" ht="27.5" customHeight="1">
      <c r="A18" s="46" t="s">
        <v>219</v>
      </c>
      <c r="B18" s="47" t="s">
        <v>219</v>
      </c>
      <c r="C18" s="29" t="s">
        <v>184</v>
      </c>
      <c r="D18" s="30" t="s">
        <v>220</v>
      </c>
      <c r="E18" s="30" t="s">
        <v>221</v>
      </c>
      <c r="F18" s="48" t="s"/>
      <c r="G18" s="32">
        <v>8</v>
      </c>
      <c r="H18" s="32" t="s">
        <v>186</v>
      </c>
      <c r="I18" s="30" t="s"/>
      <c r="J18" s="30" t="s"/>
      <c r="K18" s="30" t="s"/>
      <c r="L18" s="30" t="s"/>
      <c r="M18" s="30" t="s"/>
      <c r="N18" s="30" t="s"/>
      <c r="O18" s="30" t="s"/>
      <c r="P18" s="30" t="s"/>
      <c r="Q18" s="33" t="s"/>
    </row>
    <row r="19" spans="1:17" ht="27.5" customHeight="1">
      <c r="A19" s="40" t="s">
        <v>222</v>
      </c>
      <c r="B19" s="41" t="s">
        <v>223</v>
      </c>
      <c r="C19" s="29" t="s">
        <v>184</v>
      </c>
      <c r="D19" s="29" t="s">
        <v>224</v>
      </c>
      <c r="E19" s="29" t="s"/>
      <c r="F19" s="29" t="s"/>
      <c r="G19" s="43">
        <v>9</v>
      </c>
      <c r="H19" s="32" t="s">
        <v>186</v>
      </c>
      <c r="I19" s="29" t="s"/>
      <c r="J19" s="29" t="s"/>
      <c r="K19" s="29" t="s"/>
      <c r="L19" s="29" t="s"/>
      <c r="M19" s="29" t="s"/>
      <c r="N19" s="29" t="s"/>
      <c r="O19" s="29" t="s"/>
      <c r="P19" s="29" t="s"/>
      <c r="Q19" s="42" t="s"/>
    </row>
    <row r="20" spans="1:17" ht="27.5" customHeight="1">
      <c r="A20" s="27" t="s">
        <v>225</v>
      </c>
      <c r="B20" s="30" t="s">
        <v>226</v>
      </c>
      <c r="C20" s="29" t="s">
        <v>184</v>
      </c>
      <c r="D20" s="30" t="s">
        <v>226</v>
      </c>
      <c r="E20" s="30" t="s">
        <v>227</v>
      </c>
      <c r="F20" s="49" t="s"/>
      <c r="G20" s="32">
        <v>10</v>
      </c>
      <c r="H20" s="32" t="s">
        <v>186</v>
      </c>
      <c r="I20" s="30" t="s"/>
      <c r="J20" s="30" t="s"/>
      <c r="K20" s="30" t="s"/>
      <c r="L20" s="30" t="s"/>
      <c r="M20" s="30" t="s"/>
      <c r="N20" s="30" t="s"/>
      <c r="O20" s="30" t="s"/>
      <c r="P20" s="50" t="s"/>
      <c r="Q20" s="33" t="s"/>
    </row>
  </sheetData>
  <mergeCells count="3">
    <mergeCell ref="A2:Q2"/>
    <mergeCell ref="A4:A11"/>
    <mergeCell ref="G4:G11"/>
  </mergeCells>
  <dataValidations>
    <dataValidation type="list" allowBlank="1" showInputMessage="1" showErrorMessage="1" sqref="A18"/>
    <dataValidation type="list" allowBlank="1" showInputMessage="1" showErrorMessage="1" sqref="B18"/>
    <dataValidation type="list" operator="between" allowBlank="1" showInputMessage="1" showErrorMessage="1" sqref="C4:C20">
      <formula1>"Production, Staging,Dev"</formula1>
    </dataValidation>
    <dataValidation type="list" operator="between" allowBlank="1" showInputMessage="1" showErrorMessage="1" sqref="I4:I15">
      <formula1>"Yes,No"</formula1>
    </dataValidation>
    <dataValidation type="list" operator="between" allowBlank="1" showInputMessage="1" showErrorMessage="1" sqref="I18:I20">
      <formula1>"Yes,No"</formula1>
    </dataValidation>
    <dataValidation type="list" operator="between" allowBlank="1" showInputMessage="1" showErrorMessage="1" sqref="J4:J15">
      <formula1>"Yes,No"</formula1>
    </dataValidation>
    <dataValidation type="list" operator="between" allowBlank="1" showInputMessage="1" showErrorMessage="1" sqref="J18:J20">
      <formula1>"Yes,No"</formula1>
    </dataValidation>
    <dataValidation type="list" operator="between" allowBlank="1" showInputMessage="1" showErrorMessage="1" sqref="K4:K15">
      <formula1>"Yes,No"</formula1>
    </dataValidation>
    <dataValidation type="list" operator="between" allowBlank="1" showInputMessage="1" showErrorMessage="1" sqref="K18:K20">
      <formula1>"Yes,No"</formula1>
    </dataValidation>
    <dataValidation type="list" operator="between" allowBlank="1" showInputMessage="1" showErrorMessage="1" sqref="L4:L15">
      <formula1>"Auto-Week1,Auto-Week2,Manual"</formula1>
    </dataValidation>
    <dataValidation type="list" operator="between" allowBlank="1" showInputMessage="1" showErrorMessage="1" sqref="L18:L19">
      <formula1>"Auto-Week1,Auto-Week2,Manual"</formula1>
    </dataValidation>
    <dataValidation type="list" operator="between" allowBlank="1" showInputMessage="1" showErrorMessage="1" sqref="M20">
      <formula1>"Auto-Week1,Auto-Week2,Manual"</formula1>
    </dataValidation>
    <dataValidation type="list" operator="between" allowBlank="1" showInputMessage="1" showErrorMessage="1" sqref="N4:N15">
      <formula1>"Auto-Week1,Auto-Week2,Manual"</formula1>
    </dataValidation>
    <dataValidation type="list" operator="between" allowBlank="1" showInputMessage="1" showErrorMessage="1" sqref="N18:N19">
      <formula1>"Auto-Week1,Auto-Week2,Manual"</formula1>
    </dataValidation>
  </dataValidation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>
  <sheetPr codeName="Sheet6">
    <tabColor theme="0"/>
  </sheetPr>
  <dimension ref="L14"/>
  <sheetViews>
    <sheetView showGridLines="1" workbookViewId="0"/>
  </sheetViews>
  <sheetFormatPr baseColWidth="8" defaultRowHeight="14.5"/>
  <cols>
    <col min="1" max="1" width="17.1797" customWidth="1"/>
    <col min="2" max="2" width="21.9062" bestFit="1" customWidth="1"/>
    <col min="3" max="3" width="89.543" customWidth="1"/>
    <col min="4" max="4" width="18.9062" customWidth="1"/>
    <col min="5" max="5" width="9.72656" customWidth="1"/>
    <col min="6" max="6" width="11.4531" bestFit="1" customWidth="1"/>
    <col min="7" max="7" width="9.63281" customWidth="1"/>
    <col min="8" max="8" width="15.2695" customWidth="1"/>
    <col min="9" max="9" width="23.8164" customWidth="1"/>
    <col min="10" max="10" width="19.3633" customWidth="1"/>
    <col min="11" max="11" width="27.3633" customWidth="1"/>
    <col min="12" max="12" width="18.6328" customWidth="1"/>
  </cols>
  <sheetData>
    <row r="1" spans="1:11" ht="26.5" customHeight="1">
      <c r="A1" s="51" t="s">
        <v>228</v>
      </c>
      <c r="B1" s="52" t="s">
        <v>229</v>
      </c>
      <c r="C1" s="52" t="s">
        <v>230</v>
      </c>
      <c r="D1" s="52" t="s">
        <v>231</v>
      </c>
      <c r="E1" s="52" t="s">
        <v>232</v>
      </c>
      <c r="F1" s="52" t="s">
        <v>233</v>
      </c>
      <c r="G1" s="52" t="s">
        <v>234</v>
      </c>
      <c r="H1" s="52" t="s">
        <v>235</v>
      </c>
      <c r="I1" s="52" t="s">
        <v>236</v>
      </c>
      <c r="J1" s="52" t="s">
        <v>237</v>
      </c>
      <c r="K1" s="52" t="s">
        <v>238</v>
      </c>
    </row>
    <row r="2" spans="1:11" ht="95" customHeight="1">
      <c r="A2" s="53" t="s">
        <v>239</v>
      </c>
      <c r="B2" s="54" t="s">
        <v>240</v>
      </c>
      <c r="C2" s="55" t="s">
        <v>241</v>
      </c>
      <c r="D2" s="56" t="s">
        <v>242</v>
      </c>
      <c r="E2" s="57">
        <f>=F2/F6</f>
        <v>0.294117647058824</v>
      </c>
      <c r="F2" s="58">
        <v>50</v>
      </c>
      <c r="G2" s="59">
        <v>3300</v>
      </c>
      <c r="H2" s="60">
        <f>=F2*G2</f>
        <v>165000</v>
      </c>
      <c r="I2" s="56" t="s">
        <v>243</v>
      </c>
      <c r="J2" s="61" t="s">
        <v>244</v>
      </c>
      <c r="K2" s="62" t="s">
        <v>245</v>
      </c>
    </row>
    <row r="3" spans="1:11" ht="140" customHeight="1">
      <c r="A3" s="63" t="s">
        <v>246</v>
      </c>
      <c r="B3" s="54" t="s">
        <v>247</v>
      </c>
      <c r="C3" s="55" t="s">
        <v>248</v>
      </c>
      <c r="D3" s="56" t="s">
        <v>249</v>
      </c>
      <c r="E3" s="57">
        <f>=F3/F6</f>
        <v>0.352941176470588</v>
      </c>
      <c r="F3" s="58">
        <v>60</v>
      </c>
      <c r="G3" s="59">
        <v>3900</v>
      </c>
      <c r="H3" s="60">
        <f>=F3*G3</f>
        <v>234000</v>
      </c>
      <c r="I3" s="56" t="s">
        <v>250</v>
      </c>
      <c r="J3" s="61" t="s">
        <v>251</v>
      </c>
      <c r="K3" s="62" t="s">
        <v>252</v>
      </c>
    </row>
    <row r="4" spans="1:11" ht="107" customHeight="1">
      <c r="A4" s="64" t="s">
        <v>253</v>
      </c>
      <c r="B4" s="54" t="s">
        <v>254</v>
      </c>
      <c r="C4" s="55" t="s">
        <v>255</v>
      </c>
      <c r="D4" s="56" t="s">
        <v>256</v>
      </c>
      <c r="E4" s="57">
        <f>=F4/F6</f>
        <v>0.352941176470588</v>
      </c>
      <c r="F4" s="58">
        <v>60</v>
      </c>
      <c r="G4" s="59">
        <v>2500</v>
      </c>
      <c r="H4" s="60">
        <f>=F4*G4</f>
        <v>150000</v>
      </c>
      <c r="I4" s="56" t="s">
        <v>257</v>
      </c>
      <c r="J4" s="61" t="s">
        <v>258</v>
      </c>
      <c r="K4" s="62" t="s">
        <v>259</v>
      </c>
    </row>
    <row r="5" spans="1:11" ht="107" customHeight="1">
      <c r="A5" s="64" t="s">
        <v>260</v>
      </c>
      <c r="B5" s="54" t="s">
        <v>261</v>
      </c>
      <c r="C5" s="55" t="s">
        <v>262</v>
      </c>
      <c r="D5" s="56" t="s">
        <v>263</v>
      </c>
      <c r="E5" s="57">
        <v>0</v>
      </c>
      <c r="F5" s="58">
        <v>15</v>
      </c>
      <c r="G5" s="59">
        <v>3000</v>
      </c>
      <c r="H5" s="60">
        <f>=F5*G5</f>
        <v>45000</v>
      </c>
      <c r="I5" s="56" t="s">
        <v>264</v>
      </c>
      <c r="J5" s="61" t="s">
        <v>265</v>
      </c>
      <c r="K5" s="62" t="s">
        <v>266</v>
      </c>
    </row>
    <row r="6" spans="1:11" ht="22" customHeight="1">
      <c r="A6" s="65" t="s">
        <v>267</v>
      </c>
      <c r="B6" s="66" t="s"/>
      <c r="C6" s="66" t="s"/>
      <c r="D6" s="66" t="s"/>
      <c r="E6" s="67" t="s"/>
      <c r="F6" s="68">
        <f>=SUM(F2:F4)</f>
        <v>170</v>
      </c>
      <c r="G6" s="69" t="s"/>
      <c r="H6" s="70">
        <f>=SUM(H2:H5)</f>
        <v>594000</v>
      </c>
      <c r="I6" s="66" t="s"/>
      <c r="J6" s="66" t="s"/>
      <c r="K6" s="66" t="s"/>
    </row>
    <row r="9" spans="2:6">
      <c r="B9" s="71" t="s">
        <v>268</v>
      </c>
      <c r="C9" s="72">
        <v>25</v>
      </c>
      <c r="D9" s="73">
        <f>=C9/C14</f>
        <v>0.135135135135135</v>
      </c>
      <c r="F9" s="21" t="s">
        <v>227</v>
      </c>
    </row>
    <row r="10" spans="2:4">
      <c r="B10" s="74" t="s">
        <v>269</v>
      </c>
      <c r="C10" s="72">
        <v>30</v>
      </c>
      <c r="D10" s="73">
        <f>=C10/C14</f>
        <v>0.162162162162162</v>
      </c>
    </row>
    <row r="11" spans="2:4">
      <c r="B11" s="75" t="s">
        <v>270</v>
      </c>
      <c r="C11" s="72">
        <v>90</v>
      </c>
      <c r="D11" s="73">
        <f>=C11/C14</f>
        <v>0.486486486486487</v>
      </c>
    </row>
    <row r="12" spans="2:4">
      <c r="B12" s="75" t="s">
        <v>271</v>
      </c>
      <c r="C12" s="72">
        <v>25</v>
      </c>
      <c r="D12" s="73">
        <f>=C12/C14</f>
        <v>0.135135135135135</v>
      </c>
    </row>
    <row r="13" spans="2:4">
      <c r="B13" s="74" t="s">
        <v>272</v>
      </c>
      <c r="C13" s="72">
        <v>15</v>
      </c>
      <c r="D13" s="73">
        <f>=C13/C14</f>
        <v>0.0810810810810811</v>
      </c>
    </row>
    <row r="14" spans="3:5">
      <c r="C14" s="76">
        <f>=SUM(C9:C13)</f>
        <v>185</v>
      </c>
      <c r="D14" s="21" t="s">
        <v>227</v>
      </c>
      <c r="E14" s="21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tabColor theme="0"/>
  </sheetPr>
  <dimension ref="L98"/>
  <sheetViews>
    <sheetView showGridLines="1" workbookViewId="0">
      <pane ySplit="2" topLeftCell="A3" activePane="bottomLeft" state="frozen"/>
    </sheetView>
  </sheetViews>
  <sheetFormatPr baseColWidth="8" defaultRowHeight="14.5"/>
  <cols>
    <col min="1" max="1" width="10.8164" bestFit="1" customWidth="1"/>
    <col min="2" max="2" width="34.9062" bestFit="1" customWidth="1"/>
    <col min="3" max="3" width="29.4531" customWidth="1"/>
    <col min="4" max="4" width="31.2695" customWidth="1"/>
    <col min="5" max="5" width="78.2695" customWidth="1"/>
    <col min="6" max="9" width="12.3633" customWidth="1"/>
    <col min="10" max="10" width="17.8164" bestFit="1" customWidth="1"/>
    <col min="11" max="12" width="12.3633" customWidth="1"/>
  </cols>
  <sheetData>
    <row r="1" spans="1:12" ht="26" customHeight="1">
      <c r="A1" s="77" t="s">
        <v>273</v>
      </c>
      <c r="B1" s="78" t="s"/>
      <c r="C1" s="78" t="s"/>
      <c r="D1" s="78" t="s"/>
      <c r="E1" s="78" t="s"/>
      <c r="F1" s="78" t="s"/>
      <c r="G1" s="78" t="s"/>
      <c r="H1" s="78" t="s"/>
      <c r="I1" s="78" t="s"/>
      <c r="J1" s="78" t="s"/>
      <c r="K1" s="78" t="s"/>
      <c r="L1" s="78" t="s"/>
    </row>
    <row r="2" spans="1:12" ht="26" customHeight="1">
      <c r="A2" s="79" t="s">
        <v>274</v>
      </c>
      <c r="B2" s="79" t="s">
        <v>275</v>
      </c>
      <c r="C2" s="79" t="s">
        <v>276</v>
      </c>
      <c r="D2" s="79" t="s">
        <v>277</v>
      </c>
      <c r="E2" s="79" t="s">
        <v>278</v>
      </c>
      <c r="F2" s="79" t="s">
        <v>279</v>
      </c>
      <c r="G2" s="79" t="s">
        <v>280</v>
      </c>
      <c r="H2" s="79" t="s">
        <v>281</v>
      </c>
      <c r="I2" s="79" t="s">
        <v>282</v>
      </c>
      <c r="J2" s="79" t="s">
        <v>283</v>
      </c>
      <c r="K2" s="79" t="s">
        <v>284</v>
      </c>
      <c r="L2" s="79" t="s">
        <v>285</v>
      </c>
    </row>
    <row r="3" spans="1:12" ht="26" customHeight="1">
      <c r="A3" s="80" t="s">
        <v>286</v>
      </c>
      <c r="B3" s="81" t="s">
        <v>287</v>
      </c>
      <c r="C3" s="82" t="s">
        <v>90</v>
      </c>
      <c r="D3" s="83" t="s">
        <v>288</v>
      </c>
      <c r="E3" s="83" t="s">
        <v>289</v>
      </c>
      <c r="F3" s="84">
        <v>0.5</v>
      </c>
      <c r="G3" s="84">
        <v>1</v>
      </c>
      <c r="H3" s="84">
        <v>0.5</v>
      </c>
      <c r="I3" s="84">
        <v>0.5</v>
      </c>
      <c r="J3" s="85">
        <v>1</v>
      </c>
      <c r="K3" s="84">
        <f>=ROUND(SUM(F3:I3),2)</f>
        <v>2.5</v>
      </c>
      <c r="L3" s="85">
        <f>=ROUND(SUM(F3:I9)+J3,2)</f>
        <v>21.5</v>
      </c>
    </row>
    <row r="4" spans="1:12" ht="26" customHeight="1">
      <c r="A4" s="80" t="s">
        <v>290</v>
      </c>
      <c r="B4" s="71" t="s"/>
      <c r="C4" s="71" t="s"/>
      <c r="D4" s="83" t="s">
        <v>291</v>
      </c>
      <c r="E4" s="83" t="s">
        <v>292</v>
      </c>
      <c r="F4" s="84">
        <v>0.25</v>
      </c>
      <c r="G4" s="84">
        <v>1.5</v>
      </c>
      <c r="H4" s="84">
        <v>1</v>
      </c>
      <c r="I4" s="84">
        <v>0.5</v>
      </c>
      <c r="J4" s="71" t="s"/>
      <c r="K4" s="84">
        <f>=ROUND(SUM(F4:I4),2)</f>
        <v>3.25</v>
      </c>
      <c r="L4" s="71" t="s"/>
    </row>
    <row r="5" spans="1:12" ht="26" customHeight="1">
      <c r="A5" s="80" t="s">
        <v>293</v>
      </c>
      <c r="B5" s="71" t="s"/>
      <c r="C5" s="71" t="s"/>
      <c r="D5" s="83" t="s">
        <v>294</v>
      </c>
      <c r="E5" s="83" t="s">
        <v>295</v>
      </c>
      <c r="F5" s="84">
        <v>0.25</v>
      </c>
      <c r="G5" s="84">
        <v>1.5</v>
      </c>
      <c r="H5" s="84">
        <v>1</v>
      </c>
      <c r="I5" s="84">
        <v>0.5</v>
      </c>
      <c r="J5" s="71" t="s"/>
      <c r="K5" s="84">
        <f>=ROUND(SUM(F5:I5),2)</f>
        <v>3.25</v>
      </c>
      <c r="L5" s="71" t="s"/>
    </row>
    <row r="6" spans="1:12" ht="26" customHeight="1">
      <c r="A6" s="80" t="s">
        <v>296</v>
      </c>
      <c r="B6" s="71" t="s"/>
      <c r="C6" s="71" t="s"/>
      <c r="D6" s="83" t="s">
        <v>297</v>
      </c>
      <c r="E6" s="83" t="s">
        <v>298</v>
      </c>
      <c r="F6" s="84">
        <v>0.5</v>
      </c>
      <c r="G6" s="84">
        <v>1</v>
      </c>
      <c r="H6" s="84">
        <v>0.5</v>
      </c>
      <c r="I6" s="84">
        <v>0.25</v>
      </c>
      <c r="J6" s="71" t="s"/>
      <c r="K6" s="84">
        <f>=ROUND(SUM(F6:I6),2)</f>
        <v>2.25</v>
      </c>
      <c r="L6" s="71" t="s"/>
    </row>
    <row r="7" spans="1:12" ht="26" customHeight="1">
      <c r="A7" s="80" t="s">
        <v>299</v>
      </c>
      <c r="B7" s="71" t="s"/>
      <c r="C7" s="71" t="s"/>
      <c r="D7" s="83" t="s">
        <v>300</v>
      </c>
      <c r="E7" s="83" t="s">
        <v>301</v>
      </c>
      <c r="F7" s="84">
        <v>0.25</v>
      </c>
      <c r="G7" s="84" t="s"/>
      <c r="H7" s="84">
        <v>2</v>
      </c>
      <c r="I7" s="84">
        <v>0.5</v>
      </c>
      <c r="J7" s="71" t="s"/>
      <c r="K7" s="84">
        <f>=ROUND(SUM(F7:I7),2)</f>
        <v>2.75</v>
      </c>
      <c r="L7" s="71" t="s"/>
    </row>
    <row r="8" spans="1:12" ht="26" customHeight="1">
      <c r="A8" s="80" t="s">
        <v>302</v>
      </c>
      <c r="B8" s="71" t="s"/>
      <c r="C8" s="71" t="s"/>
      <c r="D8" s="83" t="s">
        <v>303</v>
      </c>
      <c r="E8" s="83" t="s">
        <v>304</v>
      </c>
      <c r="F8" s="84" t="s"/>
      <c r="G8" s="84">
        <v>0.5</v>
      </c>
      <c r="H8" s="84">
        <v>2.5</v>
      </c>
      <c r="I8" s="84">
        <v>1</v>
      </c>
      <c r="J8" s="71" t="s"/>
      <c r="K8" s="84">
        <f>=ROUND(SUM(F8:I8),2)</f>
        <v>4</v>
      </c>
      <c r="L8" s="71" t="s"/>
    </row>
    <row r="9" spans="1:12" ht="26" customHeight="1">
      <c r="A9" s="80" t="s">
        <v>305</v>
      </c>
      <c r="B9" s="71" t="s"/>
      <c r="C9" s="71" t="s"/>
      <c r="D9" s="83" t="s">
        <v>306</v>
      </c>
      <c r="E9" s="83" t="s">
        <v>307</v>
      </c>
      <c r="F9" s="84" t="s"/>
      <c r="G9" s="84">
        <v>1.5</v>
      </c>
      <c r="H9" s="84">
        <v>0.5</v>
      </c>
      <c r="I9" s="84">
        <v>0.5</v>
      </c>
      <c r="J9" s="71" t="s"/>
      <c r="K9" s="84">
        <f>=ROUND(SUM(F9:I9),2)</f>
        <v>2.5</v>
      </c>
      <c r="L9" s="71" t="s"/>
    </row>
    <row r="10" spans="1:12" ht="26" customHeight="1">
      <c r="A10" s="80" t="s">
        <v>308</v>
      </c>
      <c r="B10" s="71" t="s"/>
      <c r="C10" s="82" t="s">
        <v>92</v>
      </c>
      <c r="D10" s="83" t="s">
        <v>309</v>
      </c>
      <c r="E10" s="83" t="s">
        <v>310</v>
      </c>
      <c r="F10" s="84">
        <v>0.25</v>
      </c>
      <c r="G10" s="84">
        <v>2</v>
      </c>
      <c r="H10" s="84">
        <v>1</v>
      </c>
      <c r="I10" s="84">
        <v>0.5</v>
      </c>
      <c r="J10" s="85">
        <v>0.5</v>
      </c>
      <c r="K10" s="84">
        <f>=ROUND(SUM(F10:I10),2)</f>
        <v>3.75</v>
      </c>
      <c r="L10" s="85">
        <f>=ROUND(SUM(F10:I13)+J10,2)</f>
        <v>12.75</v>
      </c>
    </row>
    <row r="11" spans="1:12" ht="26" customHeight="1">
      <c r="A11" s="80" t="s">
        <v>311</v>
      </c>
      <c r="B11" s="71" t="s"/>
      <c r="C11" s="71" t="s"/>
      <c r="D11" s="83" t="s">
        <v>312</v>
      </c>
      <c r="E11" s="83" t="s">
        <v>313</v>
      </c>
      <c r="F11" s="84" t="s"/>
      <c r="G11" s="84">
        <v>1.5</v>
      </c>
      <c r="H11" s="84">
        <v>1.5</v>
      </c>
      <c r="I11" s="84">
        <v>1</v>
      </c>
      <c r="J11" s="71" t="s"/>
      <c r="K11" s="84">
        <f>=ROUND(SUM(F11:I11),2)</f>
        <v>4</v>
      </c>
      <c r="L11" s="71" t="s"/>
    </row>
    <row r="12" spans="1:12" ht="26" customHeight="1">
      <c r="A12" s="80" t="s">
        <v>314</v>
      </c>
      <c r="B12" s="71" t="s"/>
      <c r="C12" s="71" t="s"/>
      <c r="D12" s="83" t="s">
        <v>315</v>
      </c>
      <c r="E12" s="83" t="s">
        <v>316</v>
      </c>
      <c r="F12" s="84" t="s"/>
      <c r="G12" s="84" t="s"/>
      <c r="H12" s="84">
        <v>1.5</v>
      </c>
      <c r="I12" s="84">
        <v>0.75</v>
      </c>
      <c r="J12" s="71" t="s"/>
      <c r="K12" s="84">
        <f>=ROUND(SUM(F12:I12),2)</f>
        <v>2.25</v>
      </c>
      <c r="L12" s="71" t="s"/>
    </row>
    <row r="13" spans="1:12" ht="26" customHeight="1">
      <c r="A13" s="80" t="s">
        <v>317</v>
      </c>
      <c r="B13" s="71" t="s"/>
      <c r="C13" s="71" t="s"/>
      <c r="D13" s="83" t="s">
        <v>318</v>
      </c>
      <c r="E13" s="83" t="s">
        <v>319</v>
      </c>
      <c r="F13" s="84">
        <v>0.25</v>
      </c>
      <c r="G13" s="84" t="s"/>
      <c r="H13" s="84">
        <v>1.5</v>
      </c>
      <c r="I13" s="84">
        <v>0.5</v>
      </c>
      <c r="J13" s="71" t="s"/>
      <c r="K13" s="84">
        <f>=ROUND(SUM(F13:I13),2)</f>
        <v>2.25</v>
      </c>
      <c r="L13" s="71" t="s"/>
    </row>
    <row r="14" spans="1:12" ht="26" customHeight="1">
      <c r="A14" s="80" t="s">
        <v>320</v>
      </c>
      <c r="B14" s="71" t="s"/>
      <c r="C14" s="82" t="s">
        <v>95</v>
      </c>
      <c r="D14" s="83" t="s">
        <v>321</v>
      </c>
      <c r="E14" s="83" t="s">
        <v>322</v>
      </c>
      <c r="F14" s="84">
        <v>0.5</v>
      </c>
      <c r="G14" s="84">
        <v>2</v>
      </c>
      <c r="H14" s="84">
        <v>0.5</v>
      </c>
      <c r="I14" s="84">
        <v>0.5</v>
      </c>
      <c r="J14" s="85">
        <v>0.5</v>
      </c>
      <c r="K14" s="84">
        <f>=ROUND(SUM(F14:I14),2)</f>
        <v>3.5</v>
      </c>
      <c r="L14" s="85">
        <f>=ROUND(SUM(F14:I17)+J14,2)</f>
        <v>11.25</v>
      </c>
    </row>
    <row r="15" spans="1:12" ht="26" customHeight="1">
      <c r="A15" s="80" t="s">
        <v>323</v>
      </c>
      <c r="B15" s="71" t="s"/>
      <c r="C15" s="71" t="s"/>
      <c r="D15" s="83" t="s">
        <v>324</v>
      </c>
      <c r="E15" s="83" t="s">
        <v>325</v>
      </c>
      <c r="F15" s="84">
        <v>0.5</v>
      </c>
      <c r="G15" s="84" t="s"/>
      <c r="H15" s="84">
        <v>1.5</v>
      </c>
      <c r="I15" s="84">
        <v>0.75</v>
      </c>
      <c r="J15" s="71" t="s"/>
      <c r="K15" s="84">
        <f>=ROUND(SUM(F15:I15),2)</f>
        <v>2.75</v>
      </c>
      <c r="L15" s="71" t="s"/>
    </row>
    <row r="16" spans="1:12" ht="26" customHeight="1">
      <c r="A16" s="80" t="s">
        <v>326</v>
      </c>
      <c r="B16" s="71" t="s"/>
      <c r="C16" s="71" t="s"/>
      <c r="D16" s="83" t="s">
        <v>327</v>
      </c>
      <c r="E16" s="83" t="s">
        <v>328</v>
      </c>
      <c r="F16" s="84" t="s"/>
      <c r="G16" s="84">
        <v>1</v>
      </c>
      <c r="H16" s="84">
        <v>1</v>
      </c>
      <c r="I16" s="84">
        <v>0.5</v>
      </c>
      <c r="J16" s="71" t="s"/>
      <c r="K16" s="84">
        <f>=ROUND(SUM(F16:I16),2)</f>
        <v>2.5</v>
      </c>
      <c r="L16" s="71" t="s"/>
    </row>
    <row r="17" spans="1:12" ht="26" customHeight="1">
      <c r="A17" s="80" t="s">
        <v>329</v>
      </c>
      <c r="B17" s="71" t="s"/>
      <c r="C17" s="71" t="s"/>
      <c r="D17" s="83" t="s">
        <v>330</v>
      </c>
      <c r="E17" s="83" t="s">
        <v>331</v>
      </c>
      <c r="F17" s="84" t="s"/>
      <c r="G17" s="84">
        <v>0.5</v>
      </c>
      <c r="H17" s="84">
        <v>1</v>
      </c>
      <c r="I17" s="84">
        <v>0.5</v>
      </c>
      <c r="J17" s="71" t="s"/>
      <c r="K17" s="84">
        <f>=ROUND(SUM(F17:I17),2)</f>
        <v>2</v>
      </c>
      <c r="L17" s="71" t="s"/>
    </row>
    <row r="18" spans="1:12" ht="26" customHeight="1">
      <c r="A18" s="80" t="s">
        <v>332</v>
      </c>
      <c r="B18" s="71" t="s"/>
      <c r="C18" s="82" t="s">
        <v>99</v>
      </c>
      <c r="D18" s="83" t="s">
        <v>333</v>
      </c>
      <c r="E18" s="83" t="s">
        <v>334</v>
      </c>
      <c r="F18" s="84">
        <v>0.5</v>
      </c>
      <c r="G18" s="84" t="s"/>
      <c r="H18" s="84">
        <v>1</v>
      </c>
      <c r="I18" s="84">
        <v>0.25</v>
      </c>
      <c r="J18" s="85">
        <v>0.5</v>
      </c>
      <c r="K18" s="84">
        <f>=ROUND(SUM(F18:I18),2)</f>
        <v>1.75</v>
      </c>
      <c r="L18" s="85">
        <f>=ROUND(SUM(F18:I20)+J18,2)</f>
        <v>5.25</v>
      </c>
    </row>
    <row r="19" spans="1:12" ht="26" customHeight="1">
      <c r="A19" s="80" t="s">
        <v>335</v>
      </c>
      <c r="B19" s="71" t="s"/>
      <c r="C19" s="71" t="s"/>
      <c r="D19" s="83" t="s">
        <v>336</v>
      </c>
      <c r="E19" s="83" t="s">
        <v>337</v>
      </c>
      <c r="F19" s="84" t="s"/>
      <c r="G19" s="84" t="s"/>
      <c r="H19" s="84">
        <v>1.5</v>
      </c>
      <c r="I19" s="84">
        <v>0.5</v>
      </c>
      <c r="J19" s="71" t="s"/>
      <c r="K19" s="84">
        <f>=ROUND(SUM(F19:I19),2)</f>
        <v>2</v>
      </c>
      <c r="L19" s="71" t="s"/>
    </row>
    <row r="20" spans="1:12" ht="26" customHeight="1">
      <c r="A20" s="80" t="s">
        <v>338</v>
      </c>
      <c r="B20" s="71" t="s"/>
      <c r="C20" s="71" t="s"/>
      <c r="D20" s="83" t="s">
        <v>339</v>
      </c>
      <c r="E20" s="83" t="s">
        <v>340</v>
      </c>
      <c r="F20" s="84" t="s"/>
      <c r="G20" s="84">
        <v>0.5</v>
      </c>
      <c r="H20" s="84">
        <v>0.25</v>
      </c>
      <c r="I20" s="84">
        <v>0.25</v>
      </c>
      <c r="J20" s="71" t="s"/>
      <c r="K20" s="84">
        <f>=ROUND(SUM(F20:I20),2)</f>
        <v>1</v>
      </c>
      <c r="L20" s="71" t="s"/>
    </row>
    <row r="21" spans="1:12" ht="26" customHeight="1">
      <c r="A21" s="80" t="s">
        <v>341</v>
      </c>
      <c r="B21" s="71" t="s"/>
      <c r="C21" s="82" t="s">
        <v>101</v>
      </c>
      <c r="D21" s="83" t="s">
        <v>342</v>
      </c>
      <c r="E21" s="83" t="s">
        <v>343</v>
      </c>
      <c r="F21" s="84" t="s"/>
      <c r="G21" s="84" t="s"/>
      <c r="H21" s="84">
        <v>2</v>
      </c>
      <c r="I21" s="84">
        <v>0.75</v>
      </c>
      <c r="J21" s="85">
        <v>0.5</v>
      </c>
      <c r="K21" s="84">
        <f>=ROUND(SUM(F21:I21),2)</f>
        <v>2.75</v>
      </c>
      <c r="L21" s="85">
        <f>=ROUND(SUM(F21:I22)+J21,2)</f>
        <v>5.5</v>
      </c>
    </row>
    <row r="22" spans="1:12" ht="26" customHeight="1">
      <c r="A22" s="80" t="s">
        <v>344</v>
      </c>
      <c r="B22" s="71" t="s"/>
      <c r="C22" s="71" t="s"/>
      <c r="D22" s="83" t="s">
        <v>345</v>
      </c>
      <c r="E22" s="83" t="s">
        <v>346</v>
      </c>
      <c r="F22" s="84">
        <v>0.25</v>
      </c>
      <c r="G22" s="84">
        <v>1</v>
      </c>
      <c r="H22" s="84">
        <v>0.5</v>
      </c>
      <c r="I22" s="84">
        <v>0.5</v>
      </c>
      <c r="J22" s="71" t="s"/>
      <c r="K22" s="84">
        <f>=ROUND(SUM(F22:I22),2)</f>
        <v>2.25</v>
      </c>
      <c r="L22" s="71" t="s"/>
    </row>
    <row r="23" spans="1:12" ht="26" customHeight="1">
      <c r="A23" s="80" t="s">
        <v>347</v>
      </c>
      <c r="B23" s="86" t="s">
        <v>348</v>
      </c>
      <c r="C23" s="87" t="s">
        <v>150</v>
      </c>
      <c r="D23" s="83" t="s">
        <v>349</v>
      </c>
      <c r="E23" s="83" t="s">
        <v>350</v>
      </c>
      <c r="F23" s="84">
        <v>1.5</v>
      </c>
      <c r="G23" s="84" t="s"/>
      <c r="H23" s="84">
        <v>0.5</v>
      </c>
      <c r="I23" s="84">
        <v>0.25</v>
      </c>
      <c r="J23" s="88">
        <v>0.5</v>
      </c>
      <c r="K23" s="84">
        <f>=ROUND(SUM(F23:I23),2)</f>
        <v>2.25</v>
      </c>
      <c r="L23" s="88">
        <f>=ROUND(SUM(F23:I25)+J23,2)</f>
        <v>8.5</v>
      </c>
    </row>
    <row r="24" spans="1:12" ht="26" customHeight="1">
      <c r="A24" s="80" t="s">
        <v>351</v>
      </c>
      <c r="B24" s="71" t="s"/>
      <c r="C24" s="71" t="s"/>
      <c r="D24" s="83" t="s">
        <v>352</v>
      </c>
      <c r="E24" s="83" t="s">
        <v>353</v>
      </c>
      <c r="F24" s="84" t="s"/>
      <c r="G24" s="84" t="s"/>
      <c r="H24" s="84">
        <v>2</v>
      </c>
      <c r="I24" s="84">
        <v>0.5</v>
      </c>
      <c r="J24" s="71" t="s"/>
      <c r="K24" s="84">
        <f>=ROUND(SUM(F24:I24),2)</f>
        <v>2.5</v>
      </c>
      <c r="L24" s="71" t="s"/>
    </row>
    <row r="25" spans="1:12" ht="26" customHeight="1">
      <c r="A25" s="80" t="s">
        <v>354</v>
      </c>
      <c r="B25" s="71" t="s"/>
      <c r="C25" s="71" t="s"/>
      <c r="D25" s="83" t="s">
        <v>355</v>
      </c>
      <c r="E25" s="83" t="s">
        <v>356</v>
      </c>
      <c r="F25" s="84">
        <v>0.25</v>
      </c>
      <c r="G25" s="84">
        <v>2</v>
      </c>
      <c r="H25" s="84">
        <v>0.5</v>
      </c>
      <c r="I25" s="84">
        <v>0.5</v>
      </c>
      <c r="J25" s="71" t="s"/>
      <c r="K25" s="84">
        <f>=ROUND(SUM(F25:I25),2)</f>
        <v>3.25</v>
      </c>
      <c r="L25" s="71" t="s"/>
    </row>
    <row r="26" spans="1:12" ht="26" customHeight="1">
      <c r="A26" s="80" t="s">
        <v>357</v>
      </c>
      <c r="B26" s="71" t="s"/>
      <c r="C26" s="87" t="s">
        <v>152</v>
      </c>
      <c r="D26" s="83" t="s">
        <v>358</v>
      </c>
      <c r="E26" s="83" t="s">
        <v>359</v>
      </c>
      <c r="F26" s="84">
        <v>0.5</v>
      </c>
      <c r="G26" s="84" t="s"/>
      <c r="H26" s="84">
        <v>0.75</v>
      </c>
      <c r="I26" s="84">
        <v>0.25</v>
      </c>
      <c r="J26" s="88">
        <v>0.5</v>
      </c>
      <c r="K26" s="84">
        <f>=ROUND(SUM(F26:I26),2)</f>
        <v>1.5</v>
      </c>
      <c r="L26" s="88">
        <f>=ROUND(SUM(F26:I28)+J26,2)</f>
        <v>5.5</v>
      </c>
    </row>
    <row r="27" spans="1:12" ht="26" customHeight="1">
      <c r="A27" s="80" t="s">
        <v>360</v>
      </c>
      <c r="B27" s="71" t="s"/>
      <c r="C27" s="71" t="s"/>
      <c r="D27" s="83" t="s">
        <v>361</v>
      </c>
      <c r="E27" s="83" t="s">
        <v>362</v>
      </c>
      <c r="F27" s="84" t="s"/>
      <c r="G27" s="84" t="s"/>
      <c r="H27" s="84">
        <v>1</v>
      </c>
      <c r="I27" s="84">
        <v>0.5</v>
      </c>
      <c r="J27" s="71" t="s"/>
      <c r="K27" s="84">
        <f>=ROUND(SUM(F27:I27),2)</f>
        <v>1.5</v>
      </c>
      <c r="L27" s="71" t="s"/>
    </row>
    <row r="28" spans="1:12" ht="26" customHeight="1">
      <c r="A28" s="80" t="s">
        <v>363</v>
      </c>
      <c r="B28" s="71" t="s"/>
      <c r="C28" s="71" t="s"/>
      <c r="D28" s="83" t="s">
        <v>364</v>
      </c>
      <c r="E28" s="83" t="s">
        <v>365</v>
      </c>
      <c r="F28" s="84" t="s"/>
      <c r="G28" s="84">
        <v>1</v>
      </c>
      <c r="H28" s="84">
        <v>0.5</v>
      </c>
      <c r="I28" s="84">
        <v>0.5</v>
      </c>
      <c r="J28" s="71" t="s"/>
      <c r="K28" s="84">
        <f>=ROUND(SUM(F28:I28),2)</f>
        <v>2</v>
      </c>
      <c r="L28" s="71" t="s"/>
    </row>
    <row r="29" spans="1:12" ht="26" customHeight="1">
      <c r="A29" s="80" t="s">
        <v>366</v>
      </c>
      <c r="B29" s="89" t="s">
        <v>367</v>
      </c>
      <c r="C29" s="90" t="s">
        <v>157</v>
      </c>
      <c r="D29" s="83" t="s">
        <v>368</v>
      </c>
      <c r="E29" s="83" t="s">
        <v>369</v>
      </c>
      <c r="F29" s="84">
        <v>0.75</v>
      </c>
      <c r="G29" s="84">
        <v>1</v>
      </c>
      <c r="H29" s="84">
        <v>0.5</v>
      </c>
      <c r="I29" s="84">
        <v>0.5</v>
      </c>
      <c r="J29" s="91">
        <v>0.5</v>
      </c>
      <c r="K29" s="84">
        <f>=ROUND(SUM(F29:I29),2)</f>
        <v>2.75</v>
      </c>
      <c r="L29" s="91">
        <f>=ROUND(SUM(F29:I31)+J29,2)</f>
        <v>10</v>
      </c>
    </row>
    <row r="30" spans="1:12" ht="26" customHeight="1">
      <c r="A30" s="80" t="s">
        <v>370</v>
      </c>
      <c r="B30" s="71" t="s"/>
      <c r="C30" s="71" t="s"/>
      <c r="D30" s="83" t="s">
        <v>371</v>
      </c>
      <c r="E30" s="83" t="s">
        <v>372</v>
      </c>
      <c r="F30" s="84" t="s"/>
      <c r="G30" s="84" t="s"/>
      <c r="H30" s="84">
        <v>3</v>
      </c>
      <c r="I30" s="84">
        <v>1</v>
      </c>
      <c r="J30" s="71" t="s"/>
      <c r="K30" s="84">
        <f>=ROUND(SUM(F30:I30),2)</f>
        <v>4</v>
      </c>
      <c r="L30" s="71" t="s"/>
    </row>
    <row r="31" spans="1:12" ht="26" customHeight="1">
      <c r="A31" s="80" t="s">
        <v>373</v>
      </c>
      <c r="B31" s="71" t="s"/>
      <c r="C31" s="71" t="s"/>
      <c r="D31" s="83" t="s">
        <v>374</v>
      </c>
      <c r="E31" s="83" t="s">
        <v>375</v>
      </c>
      <c r="F31" s="84">
        <v>0.25</v>
      </c>
      <c r="G31" s="84">
        <v>1.5</v>
      </c>
      <c r="H31" s="84">
        <v>0.5</v>
      </c>
      <c r="I31" s="84">
        <v>0.5</v>
      </c>
      <c r="J31" s="71" t="s"/>
      <c r="K31" s="84">
        <f>=ROUND(SUM(F31:I31),2)</f>
        <v>2.75</v>
      </c>
      <c r="L31" s="71" t="s"/>
    </row>
    <row r="32" spans="1:12" ht="26" customHeight="1">
      <c r="A32" s="80" t="s">
        <v>376</v>
      </c>
      <c r="B32" s="71" t="s"/>
      <c r="C32" s="90" t="s">
        <v>159</v>
      </c>
      <c r="D32" s="83" t="s">
        <v>377</v>
      </c>
      <c r="E32" s="83" t="s">
        <v>378</v>
      </c>
      <c r="F32" s="84">
        <v>0.75</v>
      </c>
      <c r="G32" s="84">
        <v>1</v>
      </c>
      <c r="H32" s="84">
        <v>0.25</v>
      </c>
      <c r="I32" s="84">
        <v>0.5</v>
      </c>
      <c r="J32" s="91">
        <v>0.5</v>
      </c>
      <c r="K32" s="84">
        <f>=ROUND(SUM(F32:I32),2)</f>
        <v>2.5</v>
      </c>
      <c r="L32" s="91">
        <f>=ROUND(SUM(F32:I34)+J32,2)</f>
        <v>6.25</v>
      </c>
    </row>
    <row r="33" spans="1:12" ht="26" customHeight="1">
      <c r="A33" s="80" t="s">
        <v>379</v>
      </c>
      <c r="B33" s="71" t="s"/>
      <c r="C33" s="71" t="s"/>
      <c r="D33" s="83" t="s">
        <v>380</v>
      </c>
      <c r="E33" s="83" t="s">
        <v>381</v>
      </c>
      <c r="F33" s="84" t="s"/>
      <c r="G33" s="84" t="s"/>
      <c r="H33" s="84">
        <v>1.5</v>
      </c>
      <c r="I33" s="84">
        <v>0.75</v>
      </c>
      <c r="J33" s="71" t="s"/>
      <c r="K33" s="84">
        <f>=ROUND(SUM(F33:I33),2)</f>
        <v>2.25</v>
      </c>
      <c r="L33" s="71" t="s"/>
    </row>
    <row r="34" spans="1:12" ht="26" customHeight="1">
      <c r="A34" s="80" t="s">
        <v>382</v>
      </c>
      <c r="B34" s="71" t="s"/>
      <c r="C34" s="71" t="s"/>
      <c r="D34" s="83" t="s">
        <v>383</v>
      </c>
      <c r="E34" s="83" t="s">
        <v>384</v>
      </c>
      <c r="F34" s="84" t="s"/>
      <c r="G34" s="84">
        <v>0.5</v>
      </c>
      <c r="H34" s="84">
        <v>0.25</v>
      </c>
      <c r="I34" s="84">
        <v>0.25</v>
      </c>
      <c r="J34" s="71" t="s"/>
      <c r="K34" s="84">
        <f>=ROUND(SUM(F34:I34),2)</f>
        <v>1</v>
      </c>
      <c r="L34" s="71" t="s"/>
    </row>
    <row r="35" spans="1:12" ht="26" customHeight="1">
      <c r="A35" s="80" t="s">
        <v>385</v>
      </c>
      <c r="B35" s="92" t="s">
        <v>386</v>
      </c>
      <c r="C35" s="93" t="s">
        <v>106</v>
      </c>
      <c r="D35" s="83" t="s">
        <v>387</v>
      </c>
      <c r="E35" s="83" t="s">
        <v>388</v>
      </c>
      <c r="F35" s="84">
        <v>0.5</v>
      </c>
      <c r="G35" s="84" t="s"/>
      <c r="H35" s="84">
        <v>0.75</v>
      </c>
      <c r="I35" s="84">
        <v>0.25</v>
      </c>
      <c r="J35" s="94">
        <v>0.5</v>
      </c>
      <c r="K35" s="84">
        <f>=ROUND(SUM(F35:I35),2)</f>
        <v>1.5</v>
      </c>
      <c r="L35" s="94">
        <f>=ROUND(SUM(F35:I37)+J35,2)</f>
        <v>5.25</v>
      </c>
    </row>
    <row r="36" spans="1:12" ht="26" customHeight="1">
      <c r="A36" s="80" t="s">
        <v>389</v>
      </c>
      <c r="B36" s="71" t="s"/>
      <c r="C36" s="71" t="s"/>
      <c r="D36" s="83" t="s">
        <v>390</v>
      </c>
      <c r="E36" s="83" t="s">
        <v>391</v>
      </c>
      <c r="F36" s="84" t="s"/>
      <c r="G36" s="84" t="s"/>
      <c r="H36" s="84">
        <v>0.5</v>
      </c>
      <c r="I36" s="84">
        <v>0.5</v>
      </c>
      <c r="J36" s="71" t="s"/>
      <c r="K36" s="84">
        <f>=ROUND(SUM(F36:I36),2)</f>
        <v>1</v>
      </c>
      <c r="L36" s="71" t="s"/>
    </row>
    <row r="37" spans="1:12" ht="26" customHeight="1">
      <c r="A37" s="80" t="s">
        <v>392</v>
      </c>
      <c r="B37" s="71" t="s"/>
      <c r="C37" s="71" t="s"/>
      <c r="D37" s="83" t="s">
        <v>393</v>
      </c>
      <c r="E37" s="83" t="s">
        <v>394</v>
      </c>
      <c r="F37" s="84" t="s"/>
      <c r="G37" s="84" t="s"/>
      <c r="H37" s="84">
        <v>1.5</v>
      </c>
      <c r="I37" s="84">
        <v>0.75</v>
      </c>
      <c r="J37" s="71" t="s"/>
      <c r="K37" s="84">
        <f>=ROUND(SUM(F37:I37),2)</f>
        <v>2.25</v>
      </c>
      <c r="L37" s="71" t="s"/>
    </row>
    <row r="38" spans="1:12" ht="26" customHeight="1">
      <c r="A38" s="80" t="s">
        <v>395</v>
      </c>
      <c r="B38" s="71" t="s"/>
      <c r="C38" s="93" t="s">
        <v>108</v>
      </c>
      <c r="D38" s="83" t="s">
        <v>396</v>
      </c>
      <c r="E38" s="83" t="s">
        <v>397</v>
      </c>
      <c r="F38" s="84">
        <v>0.25</v>
      </c>
      <c r="G38" s="84" t="s"/>
      <c r="H38" s="84">
        <v>0.5</v>
      </c>
      <c r="I38" s="84">
        <v>0.5</v>
      </c>
      <c r="J38" s="94">
        <v>0.5</v>
      </c>
      <c r="K38" s="84">
        <f>=ROUND(SUM(F38:I38),2)</f>
        <v>1.25</v>
      </c>
      <c r="L38" s="94">
        <f>=ROUND(SUM(F38:I40)+J38,2)</f>
        <v>3.25</v>
      </c>
    </row>
    <row r="39" spans="1:12" ht="26" customHeight="1">
      <c r="A39" s="80" t="s">
        <v>398</v>
      </c>
      <c r="B39" s="71" t="s"/>
      <c r="C39" s="71" t="s"/>
      <c r="D39" s="83" t="s">
        <v>399</v>
      </c>
      <c r="E39" s="83" t="s">
        <v>400</v>
      </c>
      <c r="F39" s="84" t="s"/>
      <c r="G39" s="84">
        <v>0.25</v>
      </c>
      <c r="H39" s="84">
        <v>0.25</v>
      </c>
      <c r="I39" s="84">
        <v>0.5</v>
      </c>
      <c r="J39" s="71" t="s"/>
      <c r="K39" s="84">
        <f>=ROUND(SUM(F39:I39),2)</f>
        <v>1</v>
      </c>
      <c r="L39" s="71" t="s"/>
    </row>
    <row r="40" spans="1:12" ht="26" customHeight="1">
      <c r="A40" s="80" t="s">
        <v>401</v>
      </c>
      <c r="B40" s="71" t="s"/>
      <c r="C40" s="71" t="s"/>
      <c r="D40" s="83" t="s">
        <v>402</v>
      </c>
      <c r="E40" s="83" t="s">
        <v>403</v>
      </c>
      <c r="F40" s="84" t="s"/>
      <c r="G40" s="84">
        <v>0.25</v>
      </c>
      <c r="H40" s="84" t="s"/>
      <c r="I40" s="84">
        <v>0.25</v>
      </c>
      <c r="J40" s="71" t="s"/>
      <c r="K40" s="84">
        <f>=ROUND(SUM(F40:I40),2)</f>
        <v>0.5</v>
      </c>
      <c r="L40" s="71" t="s"/>
    </row>
    <row r="41" spans="1:12" ht="26" customHeight="1">
      <c r="A41" s="80" t="s">
        <v>404</v>
      </c>
      <c r="B41" s="71" t="s"/>
      <c r="C41" s="93" t="s">
        <v>163</v>
      </c>
      <c r="D41" s="83" t="s">
        <v>405</v>
      </c>
      <c r="E41" s="83" t="s">
        <v>406</v>
      </c>
      <c r="F41" s="84">
        <v>0.5</v>
      </c>
      <c r="G41" s="84">
        <v>0.75</v>
      </c>
      <c r="H41" s="84">
        <v>0.5</v>
      </c>
      <c r="I41" s="84">
        <v>0.25</v>
      </c>
      <c r="J41" s="94">
        <v>0.5</v>
      </c>
      <c r="K41" s="84">
        <f>=ROUND(SUM(F41:I41),2)</f>
        <v>2</v>
      </c>
      <c r="L41" s="94">
        <f>=ROUND(SUM(F41:I43)+J41,2)</f>
        <v>4.5</v>
      </c>
    </row>
    <row r="42" spans="1:12" ht="26" customHeight="1">
      <c r="A42" s="80" t="s">
        <v>407</v>
      </c>
      <c r="B42" s="71" t="s"/>
      <c r="C42" s="71" t="s"/>
      <c r="D42" s="83" t="s">
        <v>408</v>
      </c>
      <c r="E42" s="83" t="s">
        <v>409</v>
      </c>
      <c r="F42" s="84" t="s"/>
      <c r="G42" s="84" t="s"/>
      <c r="H42" s="84">
        <v>0.5</v>
      </c>
      <c r="I42" s="84">
        <v>0.5</v>
      </c>
      <c r="J42" s="71" t="s"/>
      <c r="K42" s="84">
        <f>=ROUND(SUM(F42:I42),2)</f>
        <v>1</v>
      </c>
      <c r="L42" s="71" t="s"/>
    </row>
    <row r="43" spans="1:12" ht="26" customHeight="1">
      <c r="A43" s="80" t="s">
        <v>410</v>
      </c>
      <c r="B43" s="71" t="s"/>
      <c r="C43" s="71" t="s"/>
      <c r="D43" s="83" t="s">
        <v>411</v>
      </c>
      <c r="E43" s="83" t="s">
        <v>412</v>
      </c>
      <c r="F43" s="84" t="s"/>
      <c r="G43" s="84">
        <v>0.25</v>
      </c>
      <c r="H43" s="84">
        <v>0.25</v>
      </c>
      <c r="I43" s="84">
        <v>0.5</v>
      </c>
      <c r="J43" s="71" t="s"/>
      <c r="K43" s="84">
        <f>=ROUND(SUM(F43:I43),2)</f>
        <v>1</v>
      </c>
      <c r="L43" s="71" t="s"/>
    </row>
    <row r="44" spans="1:12" ht="26" customHeight="1">
      <c r="A44" s="80" t="s">
        <v>413</v>
      </c>
      <c r="B44" s="95" t="s">
        <v>414</v>
      </c>
      <c r="C44" s="96" t="s">
        <v>113</v>
      </c>
      <c r="D44" s="83" t="s">
        <v>415</v>
      </c>
      <c r="E44" s="83" t="s">
        <v>416</v>
      </c>
      <c r="F44" s="84">
        <v>0.5</v>
      </c>
      <c r="G44" s="84">
        <v>0.5</v>
      </c>
      <c r="H44" s="84">
        <v>1</v>
      </c>
      <c r="I44" s="84">
        <v>0.25</v>
      </c>
      <c r="J44" s="97">
        <v>0.5</v>
      </c>
      <c r="K44" s="84">
        <f>=ROUND(SUM(F44:I44),2)</f>
        <v>2.25</v>
      </c>
      <c r="L44" s="97">
        <f>=ROUND(SUM(F44:I46)+J44,2)</f>
        <v>7.5</v>
      </c>
    </row>
    <row r="45" spans="1:12" ht="26" customHeight="1">
      <c r="A45" s="80" t="s">
        <v>417</v>
      </c>
      <c r="B45" s="71" t="s"/>
      <c r="C45" s="71" t="s"/>
      <c r="D45" s="83" t="s">
        <v>418</v>
      </c>
      <c r="E45" s="83" t="s">
        <v>419</v>
      </c>
      <c r="F45" s="84" t="s"/>
      <c r="G45" s="84">
        <v>2</v>
      </c>
      <c r="H45" s="84">
        <v>0.25</v>
      </c>
      <c r="I45" s="84">
        <v>0.5</v>
      </c>
      <c r="J45" s="71" t="s"/>
      <c r="K45" s="84">
        <f>=ROUND(SUM(F45:I45),2)</f>
        <v>2.75</v>
      </c>
      <c r="L45" s="71" t="s"/>
    </row>
    <row r="46" spans="1:12" ht="26" customHeight="1">
      <c r="A46" s="80" t="s">
        <v>420</v>
      </c>
      <c r="B46" s="71" t="s"/>
      <c r="C46" s="71" t="s"/>
      <c r="D46" s="83" t="s">
        <v>421</v>
      </c>
      <c r="E46" s="83" t="s">
        <v>422</v>
      </c>
      <c r="F46" s="84" t="s"/>
      <c r="G46" s="84" t="s"/>
      <c r="H46" s="84">
        <v>1.25</v>
      </c>
      <c r="I46" s="84">
        <v>0.75</v>
      </c>
      <c r="J46" s="71" t="s"/>
      <c r="K46" s="84">
        <f>=ROUND(SUM(F46:I46),2)</f>
        <v>2</v>
      </c>
      <c r="L46" s="71" t="s"/>
    </row>
    <row r="47" spans="1:12" ht="26" customHeight="1">
      <c r="A47" s="80" t="s">
        <v>423</v>
      </c>
      <c r="B47" s="71" t="s"/>
      <c r="C47" s="96" t="s">
        <v>115</v>
      </c>
      <c r="D47" s="83" t="s">
        <v>424</v>
      </c>
      <c r="E47" s="83" t="s">
        <v>425</v>
      </c>
      <c r="F47" s="84" t="s"/>
      <c r="G47" s="84">
        <v>0.75</v>
      </c>
      <c r="H47" s="84" t="s"/>
      <c r="I47" s="84">
        <v>0.25</v>
      </c>
      <c r="J47" s="97">
        <v>0.25</v>
      </c>
      <c r="K47" s="84">
        <f>=ROUND(SUM(F47:I47),2)</f>
        <v>1</v>
      </c>
      <c r="L47" s="97">
        <f>=ROUND(SUM(F47:I48)+J47,2)</f>
        <v>2</v>
      </c>
    </row>
    <row r="48" spans="1:12" ht="26" customHeight="1">
      <c r="A48" s="80" t="s">
        <v>426</v>
      </c>
      <c r="B48" s="71" t="s"/>
      <c r="C48" s="71" t="s"/>
      <c r="D48" s="83" t="s">
        <v>427</v>
      </c>
      <c r="E48" s="83" t="s">
        <v>428</v>
      </c>
      <c r="F48" s="84" t="s"/>
      <c r="G48" s="84" t="s"/>
      <c r="H48" s="84">
        <v>0.5</v>
      </c>
      <c r="I48" s="84">
        <v>0.25</v>
      </c>
      <c r="J48" s="71" t="s"/>
      <c r="K48" s="84">
        <f>=ROUND(SUM(F48:I48),2)</f>
        <v>0.75</v>
      </c>
      <c r="L48" s="71" t="s"/>
    </row>
    <row r="49" spans="1:12" ht="26" customHeight="1">
      <c r="A49" s="80" t="s">
        <v>429</v>
      </c>
      <c r="B49" s="71" t="s"/>
      <c r="C49" s="96" t="s">
        <v>117</v>
      </c>
      <c r="D49" s="83" t="s">
        <v>430</v>
      </c>
      <c r="E49" s="83" t="s">
        <v>431</v>
      </c>
      <c r="F49" s="84" t="s"/>
      <c r="G49" s="84">
        <v>0.75</v>
      </c>
      <c r="H49" s="84" t="s"/>
      <c r="I49" s="84">
        <v>0.25</v>
      </c>
      <c r="J49" s="97">
        <v>0.25</v>
      </c>
      <c r="K49" s="84">
        <f>=ROUND(SUM(F49:I49),2)</f>
        <v>1</v>
      </c>
      <c r="L49" s="97">
        <f>=ROUND(SUM(F49:I50)+J49,2)</f>
        <v>2</v>
      </c>
    </row>
    <row r="50" spans="1:12" ht="26" customHeight="1">
      <c r="A50" s="80" t="s">
        <v>432</v>
      </c>
      <c r="B50" s="71" t="s"/>
      <c r="C50" s="71" t="s"/>
      <c r="D50" s="83" t="s">
        <v>433</v>
      </c>
      <c r="E50" s="83" t="s">
        <v>434</v>
      </c>
      <c r="F50" s="84" t="s"/>
      <c r="G50" s="84" t="s"/>
      <c r="H50" s="84">
        <v>0.5</v>
      </c>
      <c r="I50" s="84">
        <v>0.25</v>
      </c>
      <c r="J50" s="71" t="s"/>
      <c r="K50" s="84">
        <f>=ROUND(SUM(F50:I50),2)</f>
        <v>0.75</v>
      </c>
      <c r="L50" s="71" t="s"/>
    </row>
    <row r="51" spans="1:12" ht="26" customHeight="1">
      <c r="A51" s="80" t="s">
        <v>435</v>
      </c>
      <c r="B51" s="71" t="s"/>
      <c r="C51" s="96" t="s">
        <v>120</v>
      </c>
      <c r="D51" s="83" t="s">
        <v>436</v>
      </c>
      <c r="E51" s="83" t="s">
        <v>437</v>
      </c>
      <c r="F51" s="84" t="s"/>
      <c r="G51" s="84">
        <v>2</v>
      </c>
      <c r="H51" s="84" t="s"/>
      <c r="I51" s="84">
        <v>0.5</v>
      </c>
      <c r="J51" s="97">
        <v>0.5</v>
      </c>
      <c r="K51" s="84">
        <f>=ROUND(SUM(F51:I51),2)</f>
        <v>2.5</v>
      </c>
      <c r="L51" s="97">
        <f>=ROUND(SUM(F51:I52)+J51,2)</f>
        <v>4.5</v>
      </c>
    </row>
    <row r="52" spans="1:12" ht="26" customHeight="1">
      <c r="A52" s="80" t="s">
        <v>438</v>
      </c>
      <c r="B52" s="71" t="s"/>
      <c r="C52" s="71" t="s"/>
      <c r="D52" s="83" t="s">
        <v>439</v>
      </c>
      <c r="E52" s="83" t="s">
        <v>440</v>
      </c>
      <c r="F52" s="84" t="s"/>
      <c r="G52" s="84">
        <v>0.25</v>
      </c>
      <c r="H52" s="84">
        <v>0.75</v>
      </c>
      <c r="I52" s="84">
        <v>0.5</v>
      </c>
      <c r="J52" s="71" t="s"/>
      <c r="K52" s="84">
        <f>=ROUND(SUM(F52:I52),2)</f>
        <v>1.5</v>
      </c>
      <c r="L52" s="71" t="s"/>
    </row>
    <row r="53" spans="1:12" ht="26" customHeight="1">
      <c r="A53" s="80" t="s">
        <v>441</v>
      </c>
      <c r="B53" s="71" t="s"/>
      <c r="C53" s="96" t="s">
        <v>122</v>
      </c>
      <c r="D53" s="83" t="s">
        <v>442</v>
      </c>
      <c r="E53" s="83" t="s">
        <v>443</v>
      </c>
      <c r="F53" s="84" t="s"/>
      <c r="G53" s="84" t="s"/>
      <c r="H53" s="84">
        <v>2</v>
      </c>
      <c r="I53" s="84">
        <v>0.5</v>
      </c>
      <c r="J53" s="97">
        <v>0.5</v>
      </c>
      <c r="K53" s="84">
        <f>=ROUND(SUM(F53:I53),2)</f>
        <v>2.5</v>
      </c>
      <c r="L53" s="97">
        <f>=ROUND(SUM(F53:I55)+J53,2)</f>
        <v>6.75</v>
      </c>
    </row>
    <row r="54" spans="1:12" ht="26" customHeight="1">
      <c r="A54" s="80" t="s">
        <v>444</v>
      </c>
      <c r="B54" s="71" t="s"/>
      <c r="C54" s="71" t="s"/>
      <c r="D54" s="83" t="s">
        <v>445</v>
      </c>
      <c r="E54" s="83" t="s">
        <v>446</v>
      </c>
      <c r="F54" s="84" t="s"/>
      <c r="G54" s="84">
        <v>0.5</v>
      </c>
      <c r="H54" s="84">
        <v>1</v>
      </c>
      <c r="I54" s="84">
        <v>0.5</v>
      </c>
      <c r="J54" s="71" t="s"/>
      <c r="K54" s="84">
        <f>=ROUND(SUM(F54:I54),2)</f>
        <v>2</v>
      </c>
      <c r="L54" s="71" t="s"/>
    </row>
    <row r="55" spans="1:12" ht="26" customHeight="1">
      <c r="A55" s="80" t="s">
        <v>447</v>
      </c>
      <c r="B55" s="71" t="s"/>
      <c r="C55" s="71" t="s"/>
      <c r="D55" s="83" t="s">
        <v>448</v>
      </c>
      <c r="E55" s="83" t="s">
        <v>449</v>
      </c>
      <c r="F55" s="84" t="s"/>
      <c r="G55" s="84">
        <v>1.5</v>
      </c>
      <c r="H55" s="84" t="s"/>
      <c r="I55" s="84">
        <v>0.25</v>
      </c>
      <c r="J55" s="71" t="s"/>
      <c r="K55" s="84">
        <f>=ROUND(SUM(F55:I55),2)</f>
        <v>1.75</v>
      </c>
      <c r="L55" s="71" t="s"/>
    </row>
    <row r="56" spans="1:12" ht="26" customHeight="1">
      <c r="A56" s="80" t="s">
        <v>450</v>
      </c>
      <c r="B56" s="98" t="s">
        <v>451</v>
      </c>
      <c r="C56" s="99" t="s">
        <v>127</v>
      </c>
      <c r="D56" s="83" t="s">
        <v>452</v>
      </c>
      <c r="E56" s="83" t="s">
        <v>453</v>
      </c>
      <c r="F56" s="84">
        <v>0.25</v>
      </c>
      <c r="G56" s="84" t="s"/>
      <c r="H56" s="84">
        <v>0.5</v>
      </c>
      <c r="I56" s="84">
        <v>0.25</v>
      </c>
      <c r="J56" s="100">
        <v>0.5</v>
      </c>
      <c r="K56" s="84">
        <f>=ROUND(SUM(F56:I56),2)</f>
        <v>1</v>
      </c>
      <c r="L56" s="100">
        <f>=ROUND(SUM(F56:I58)+J56,2)</f>
        <v>5.25</v>
      </c>
    </row>
    <row r="57" spans="1:12" ht="26" customHeight="1">
      <c r="A57" s="80" t="s">
        <v>454</v>
      </c>
      <c r="B57" s="71" t="s"/>
      <c r="C57" s="71" t="s"/>
      <c r="D57" s="83" t="s">
        <v>455</v>
      </c>
      <c r="E57" s="83" t="s">
        <v>456</v>
      </c>
      <c r="F57" s="84" t="s"/>
      <c r="G57" s="84" t="s"/>
      <c r="H57" s="84">
        <v>1</v>
      </c>
      <c r="I57" s="84">
        <v>0.5</v>
      </c>
      <c r="J57" s="71" t="s"/>
      <c r="K57" s="84">
        <f>=ROUND(SUM(F57:I57),2)</f>
        <v>1.5</v>
      </c>
      <c r="L57" s="71" t="s"/>
    </row>
    <row r="58" spans="1:12" ht="26" customHeight="1">
      <c r="A58" s="80" t="s">
        <v>457</v>
      </c>
      <c r="B58" s="71" t="s"/>
      <c r="C58" s="71" t="s"/>
      <c r="D58" s="83" t="s">
        <v>458</v>
      </c>
      <c r="E58" s="83" t="s">
        <v>459</v>
      </c>
      <c r="F58" s="84" t="s"/>
      <c r="G58" s="84">
        <v>1.5</v>
      </c>
      <c r="H58" s="84">
        <v>0.25</v>
      </c>
      <c r="I58" s="84">
        <v>0.5</v>
      </c>
      <c r="J58" s="71" t="s"/>
      <c r="K58" s="84">
        <f>=ROUND(SUM(F58:I58),2)</f>
        <v>2.25</v>
      </c>
      <c r="L58" s="71" t="s"/>
    </row>
    <row r="59" spans="1:12" ht="26" customHeight="1">
      <c r="A59" s="80" t="s">
        <v>460</v>
      </c>
      <c r="B59" s="71" t="s"/>
      <c r="C59" s="99" t="s">
        <v>129</v>
      </c>
      <c r="D59" s="83" t="s">
        <v>461</v>
      </c>
      <c r="E59" s="83" t="s">
        <v>462</v>
      </c>
      <c r="F59" s="84" t="s"/>
      <c r="G59" s="84" t="s"/>
      <c r="H59" s="84">
        <v>0.75</v>
      </c>
      <c r="I59" s="84">
        <v>0.5</v>
      </c>
      <c r="J59" s="100">
        <v>0.25</v>
      </c>
      <c r="K59" s="84">
        <f>=ROUND(SUM(F59:I59),2)</f>
        <v>1.25</v>
      </c>
      <c r="L59" s="100">
        <f>=ROUND(SUM(F59:I60)+J59,2)</f>
        <v>2.25</v>
      </c>
    </row>
    <row r="60" spans="1:12" ht="26" customHeight="1">
      <c r="A60" s="80" t="s">
        <v>463</v>
      </c>
      <c r="B60" s="71" t="s"/>
      <c r="C60" s="71" t="s"/>
      <c r="D60" s="83" t="s">
        <v>464</v>
      </c>
      <c r="E60" s="83" t="s">
        <v>465</v>
      </c>
      <c r="F60" s="84" t="s"/>
      <c r="G60" s="84" t="s"/>
      <c r="H60" s="84">
        <v>0.5</v>
      </c>
      <c r="I60" s="84">
        <v>0.25</v>
      </c>
      <c r="J60" s="71" t="s"/>
      <c r="K60" s="84">
        <f>=ROUND(SUM(F60:I60),2)</f>
        <v>0.75</v>
      </c>
      <c r="L60" s="71" t="s"/>
    </row>
    <row r="61" spans="1:12" ht="26" customHeight="1">
      <c r="A61" s="80" t="s">
        <v>466</v>
      </c>
      <c r="B61" s="71" t="s"/>
      <c r="C61" s="99" t="s">
        <v>131</v>
      </c>
      <c r="D61" s="83" t="s">
        <v>467</v>
      </c>
      <c r="E61" s="83" t="s">
        <v>468</v>
      </c>
      <c r="F61" s="84" t="s"/>
      <c r="G61" s="84" t="s"/>
      <c r="H61" s="84">
        <v>0.75</v>
      </c>
      <c r="I61" s="84">
        <v>0.5</v>
      </c>
      <c r="J61" s="100">
        <v>0.25</v>
      </c>
      <c r="K61" s="84">
        <f>=ROUND(SUM(F61:I61),2)</f>
        <v>1.25</v>
      </c>
      <c r="L61" s="100">
        <f>=ROUND(SUM(F61:I62)+J61,2)</f>
        <v>2.5</v>
      </c>
    </row>
    <row r="62" spans="1:12" ht="26" customHeight="1">
      <c r="A62" s="80" t="s">
        <v>469</v>
      </c>
      <c r="B62" s="71" t="s"/>
      <c r="C62" s="71" t="s"/>
      <c r="D62" s="83" t="s">
        <v>470</v>
      </c>
      <c r="E62" s="83" t="s">
        <v>471</v>
      </c>
      <c r="F62" s="84" t="s"/>
      <c r="G62" s="84">
        <v>0.5</v>
      </c>
      <c r="H62" s="84">
        <v>0.25</v>
      </c>
      <c r="I62" s="84">
        <v>0.25</v>
      </c>
      <c r="J62" s="71" t="s"/>
      <c r="K62" s="84">
        <f>=ROUND(SUM(F62:I62),2)</f>
        <v>1</v>
      </c>
      <c r="L62" s="71" t="s"/>
    </row>
    <row r="63" spans="1:12" ht="26" customHeight="1">
      <c r="A63" s="80" t="s">
        <v>472</v>
      </c>
      <c r="B63" s="101" t="s">
        <v>473</v>
      </c>
      <c r="C63" s="102" t="s">
        <v>135</v>
      </c>
      <c r="D63" s="83" t="s">
        <v>474</v>
      </c>
      <c r="E63" s="83" t="s">
        <v>475</v>
      </c>
      <c r="F63" s="84">
        <v>1</v>
      </c>
      <c r="G63" s="84" t="s"/>
      <c r="H63" s="84">
        <v>0.5</v>
      </c>
      <c r="I63" s="84">
        <v>0.25</v>
      </c>
      <c r="J63" s="103">
        <v>1</v>
      </c>
      <c r="K63" s="84">
        <f>=ROUND(SUM(F63:I63),2)</f>
        <v>1.75</v>
      </c>
      <c r="L63" s="103">
        <f>=ROUND(SUM(F63:I65)+J63,2)</f>
        <v>7</v>
      </c>
    </row>
    <row r="64" spans="1:12" ht="26" customHeight="1">
      <c r="A64" s="80" t="s">
        <v>476</v>
      </c>
      <c r="B64" s="71" t="s"/>
      <c r="C64" s="71" t="s"/>
      <c r="D64" s="83" t="s">
        <v>477</v>
      </c>
      <c r="E64" s="83" t="s">
        <v>478</v>
      </c>
      <c r="F64" s="84" t="s"/>
      <c r="G64" s="84">
        <v>1.5</v>
      </c>
      <c r="H64" s="84">
        <v>0.5</v>
      </c>
      <c r="I64" s="84">
        <v>0.5</v>
      </c>
      <c r="J64" s="71" t="s"/>
      <c r="K64" s="84">
        <f>=ROUND(SUM(F64:I64),2)</f>
        <v>2.5</v>
      </c>
      <c r="L64" s="71" t="s"/>
    </row>
    <row r="65" spans="1:12" ht="26" customHeight="1">
      <c r="A65" s="80" t="s">
        <v>479</v>
      </c>
      <c r="B65" s="71" t="s"/>
      <c r="C65" s="71" t="s"/>
      <c r="D65" s="83" t="s">
        <v>480</v>
      </c>
      <c r="E65" s="83" t="s">
        <v>481</v>
      </c>
      <c r="F65" s="84" t="s"/>
      <c r="G65" s="84" t="s"/>
      <c r="H65" s="84">
        <v>1</v>
      </c>
      <c r="I65" s="84">
        <v>0.75</v>
      </c>
      <c r="J65" s="71" t="s"/>
      <c r="K65" s="84">
        <f>=ROUND(SUM(F65:I65),2)</f>
        <v>1.75</v>
      </c>
      <c r="L65" s="71" t="s"/>
    </row>
    <row r="66" spans="1:12" ht="26" customHeight="1">
      <c r="A66" s="80" t="s">
        <v>482</v>
      </c>
      <c r="B66" s="71" t="s"/>
      <c r="C66" s="102" t="s">
        <v>137</v>
      </c>
      <c r="D66" s="83" t="s">
        <v>483</v>
      </c>
      <c r="E66" s="83" t="s">
        <v>484</v>
      </c>
      <c r="F66" s="84">
        <v>0.25</v>
      </c>
      <c r="G66" s="84">
        <v>1</v>
      </c>
      <c r="H66" s="84">
        <v>0.75</v>
      </c>
      <c r="I66" s="84">
        <v>0.5</v>
      </c>
      <c r="J66" s="103">
        <v>0.5</v>
      </c>
      <c r="K66" s="84">
        <f>=ROUND(SUM(F66:I66),2)</f>
        <v>2.5</v>
      </c>
      <c r="L66" s="103">
        <f>=ROUND(SUM(F66:I67)+J66,2)</f>
        <v>4</v>
      </c>
    </row>
    <row r="67" spans="1:12" ht="26" customHeight="1">
      <c r="A67" s="80" t="s">
        <v>485</v>
      </c>
      <c r="B67" s="71" t="s"/>
      <c r="C67" s="71" t="s"/>
      <c r="D67" s="83" t="s">
        <v>486</v>
      </c>
      <c r="E67" s="83" t="s">
        <v>487</v>
      </c>
      <c r="F67" s="84" t="s"/>
      <c r="G67" s="84">
        <v>0.5</v>
      </c>
      <c r="H67" s="84">
        <v>0.25</v>
      </c>
      <c r="I67" s="84">
        <v>0.25</v>
      </c>
      <c r="J67" s="71" t="s"/>
      <c r="K67" s="84">
        <f>=ROUND(SUM(F67:I67),2)</f>
        <v>1</v>
      </c>
      <c r="L67" s="71" t="s"/>
    </row>
    <row r="68" spans="1:12" ht="26" customHeight="1">
      <c r="A68" s="80" t="s">
        <v>488</v>
      </c>
      <c r="B68" s="71" t="s"/>
      <c r="C68" s="102" t="s">
        <v>141</v>
      </c>
      <c r="D68" s="83" t="s">
        <v>489</v>
      </c>
      <c r="E68" s="83" t="s">
        <v>490</v>
      </c>
      <c r="F68" s="84">
        <v>0.25</v>
      </c>
      <c r="G68" s="84">
        <v>0.5</v>
      </c>
      <c r="H68" s="84">
        <v>0.5</v>
      </c>
      <c r="I68" s="84">
        <v>0.5</v>
      </c>
      <c r="J68" s="103">
        <v>0.5</v>
      </c>
      <c r="K68" s="84">
        <f>=ROUND(SUM(F68:I68),2)</f>
        <v>1.75</v>
      </c>
      <c r="L68" s="103">
        <f>=ROUND(SUM(F68:I70)+J68,2)</f>
        <v>6.75</v>
      </c>
    </row>
    <row r="69" spans="1:12" ht="26" customHeight="1">
      <c r="A69" s="80" t="s">
        <v>491</v>
      </c>
      <c r="B69" s="71" t="s"/>
      <c r="C69" s="71" t="s"/>
      <c r="D69" s="83" t="s">
        <v>492</v>
      </c>
      <c r="E69" s="83" t="s">
        <v>493</v>
      </c>
      <c r="F69" s="84" t="s"/>
      <c r="G69" s="84">
        <v>2.25</v>
      </c>
      <c r="H69" s="84">
        <v>0.5</v>
      </c>
      <c r="I69" s="84">
        <v>0.75</v>
      </c>
      <c r="J69" s="71" t="s"/>
      <c r="K69" s="84">
        <f>=ROUND(SUM(F69:I69),2)</f>
        <v>3.5</v>
      </c>
      <c r="L69" s="71" t="s"/>
    </row>
    <row r="70" spans="1:12" ht="26" customHeight="1">
      <c r="A70" s="80" t="s">
        <v>494</v>
      </c>
      <c r="B70" s="71" t="s"/>
      <c r="C70" s="71" t="s"/>
      <c r="D70" s="83" t="s">
        <v>495</v>
      </c>
      <c r="E70" s="83" t="s">
        <v>496</v>
      </c>
      <c r="F70" s="84" t="s"/>
      <c r="G70" s="84">
        <v>0.5</v>
      </c>
      <c r="H70" s="84" t="s"/>
      <c r="I70" s="84">
        <v>0.5</v>
      </c>
      <c r="J70" s="71" t="s"/>
      <c r="K70" s="84">
        <f>=ROUND(SUM(F70:I70),2)</f>
        <v>1</v>
      </c>
      <c r="L70" s="71" t="s"/>
    </row>
    <row r="71" spans="1:12" ht="26" customHeight="1">
      <c r="A71" s="80" t="s">
        <v>497</v>
      </c>
      <c r="B71" s="71" t="s"/>
      <c r="C71" s="102" t="s">
        <v>143</v>
      </c>
      <c r="D71" s="83" t="s">
        <v>498</v>
      </c>
      <c r="E71" s="83" t="s">
        <v>499</v>
      </c>
      <c r="F71" s="84">
        <v>0.5</v>
      </c>
      <c r="G71" s="84" t="s"/>
      <c r="H71" s="84">
        <v>0.5</v>
      </c>
      <c r="I71" s="84">
        <v>0.25</v>
      </c>
      <c r="J71" s="103">
        <v>0.25</v>
      </c>
      <c r="K71" s="84">
        <f>=ROUND(SUM(F71:I71),2)</f>
        <v>1.25</v>
      </c>
      <c r="L71" s="103">
        <f>=ROUND(SUM(F71:I72)+J71,2)</f>
        <v>3</v>
      </c>
    </row>
    <row r="72" spans="1:12" ht="26" customHeight="1">
      <c r="A72" s="80" t="s">
        <v>500</v>
      </c>
      <c r="B72" s="71" t="s"/>
      <c r="C72" s="71" t="s"/>
      <c r="D72" s="83" t="s">
        <v>501</v>
      </c>
      <c r="E72" s="83" t="s">
        <v>502</v>
      </c>
      <c r="F72" s="84" t="s"/>
      <c r="G72" s="84">
        <v>0.25</v>
      </c>
      <c r="H72" s="84">
        <v>0.75</v>
      </c>
      <c r="I72" s="84">
        <v>0.5</v>
      </c>
      <c r="J72" s="71" t="s"/>
      <c r="K72" s="84">
        <f>=ROUND(SUM(F72:I72),2)</f>
        <v>1.5</v>
      </c>
      <c r="L72" s="71" t="s"/>
    </row>
    <row r="73" spans="1:12" ht="26" customHeight="1">
      <c r="A73" s="80" t="s">
        <v>503</v>
      </c>
      <c r="B73" s="71" t="s"/>
      <c r="C73" s="102" t="s">
        <v>145</v>
      </c>
      <c r="D73" s="83" t="s">
        <v>504</v>
      </c>
      <c r="E73" s="83" t="s">
        <v>505</v>
      </c>
      <c r="F73" s="84">
        <v>0.25</v>
      </c>
      <c r="G73" s="84">
        <v>1</v>
      </c>
      <c r="H73" s="84">
        <v>0.25</v>
      </c>
      <c r="I73" s="84">
        <v>0.5</v>
      </c>
      <c r="J73" s="103">
        <v>0.25</v>
      </c>
      <c r="K73" s="84">
        <f>=ROUND(SUM(F73:I73),2)</f>
        <v>2</v>
      </c>
      <c r="L73" s="103">
        <f>=ROUND(SUM(F73:I74)+J73,2)</f>
        <v>3.5</v>
      </c>
    </row>
    <row r="74" spans="1:12" ht="26" customHeight="1">
      <c r="A74" s="80" t="s">
        <v>506</v>
      </c>
      <c r="B74" s="71" t="s"/>
      <c r="C74" s="71" t="s"/>
      <c r="D74" s="83" t="s">
        <v>507</v>
      </c>
      <c r="E74" s="83" t="s">
        <v>508</v>
      </c>
      <c r="F74" s="84" t="s"/>
      <c r="G74" s="84" t="s"/>
      <c r="H74" s="84">
        <v>0.75</v>
      </c>
      <c r="I74" s="84">
        <v>0.5</v>
      </c>
      <c r="J74" s="71" t="s"/>
      <c r="K74" s="84">
        <f>=ROUND(SUM(F74:I74),2)</f>
        <v>1.25</v>
      </c>
      <c r="L74" s="71" t="s"/>
    </row>
    <row r="75" spans="1:12" ht="26" customHeight="1">
      <c r="A75" s="80" t="s">
        <v>509</v>
      </c>
      <c r="B75" s="104" t="s">
        <v>510</v>
      </c>
      <c r="C75" s="105" t="s">
        <v>511</v>
      </c>
      <c r="D75" s="83" t="s">
        <v>512</v>
      </c>
      <c r="E75" s="83" t="s">
        <v>513</v>
      </c>
      <c r="F75" s="84" t="s"/>
      <c r="G75" s="84">
        <v>1</v>
      </c>
      <c r="H75" s="84">
        <v>0.25</v>
      </c>
      <c r="I75" s="84">
        <v>0.25</v>
      </c>
      <c r="J75" s="106">
        <v>0.5</v>
      </c>
      <c r="K75" s="84">
        <f>=ROUND(SUM(F75:I75),2)</f>
        <v>1.5</v>
      </c>
      <c r="L75" s="106">
        <f>=ROUND(SUM(F75:I79)+J75,2)</f>
        <v>10.75</v>
      </c>
    </row>
    <row r="76" spans="1:12" ht="26" customHeight="1">
      <c r="A76" s="80" t="s">
        <v>514</v>
      </c>
      <c r="B76" s="71" t="s"/>
      <c r="C76" s="71" t="s"/>
      <c r="D76" s="83" t="s">
        <v>515</v>
      </c>
      <c r="E76" s="83" t="s">
        <v>516</v>
      </c>
      <c r="F76" s="84" t="s"/>
      <c r="G76" s="84">
        <v>1.5</v>
      </c>
      <c r="H76" s="84" t="s"/>
      <c r="I76" s="84">
        <v>0.25</v>
      </c>
      <c r="J76" s="71" t="s"/>
      <c r="K76" s="84">
        <f>=ROUND(SUM(F76:I76),2)</f>
        <v>1.75</v>
      </c>
      <c r="L76" s="71" t="s"/>
    </row>
    <row r="77" spans="1:12" ht="26" customHeight="1">
      <c r="A77" s="80" t="s">
        <v>517</v>
      </c>
      <c r="B77" s="71" t="s"/>
      <c r="C77" s="71" t="s"/>
      <c r="D77" s="83" t="s">
        <v>518</v>
      </c>
      <c r="E77" s="83" t="s">
        <v>519</v>
      </c>
      <c r="F77" s="84" t="s"/>
      <c r="G77" s="84" t="s"/>
      <c r="H77" s="84">
        <v>1.5</v>
      </c>
      <c r="I77" s="84">
        <v>0.25</v>
      </c>
      <c r="J77" s="71" t="s"/>
      <c r="K77" s="84">
        <f>=ROUND(SUM(F77:I77),2)</f>
        <v>1.75</v>
      </c>
      <c r="L77" s="71" t="s"/>
    </row>
    <row r="78" spans="1:12" ht="26" customHeight="1">
      <c r="A78" s="80" t="s">
        <v>520</v>
      </c>
      <c r="B78" s="71" t="s"/>
      <c r="C78" s="71" t="s"/>
      <c r="D78" s="83" t="s">
        <v>521</v>
      </c>
      <c r="E78" s="83" t="s">
        <v>522</v>
      </c>
      <c r="F78" s="84" t="s"/>
      <c r="G78" s="84">
        <v>1</v>
      </c>
      <c r="H78" s="84">
        <v>0.25</v>
      </c>
      <c r="I78" s="84" t="s"/>
      <c r="J78" s="71" t="s"/>
      <c r="K78" s="84">
        <f>=ROUND(SUM(F78:I78),2)</f>
        <v>1.25</v>
      </c>
      <c r="L78" s="71" t="s"/>
    </row>
    <row r="79" spans="1:12" ht="26" customHeight="1">
      <c r="A79" s="80" t="s">
        <v>523</v>
      </c>
      <c r="B79" s="71" t="s"/>
      <c r="C79" s="71" t="s"/>
      <c r="D79" s="83" t="s">
        <v>524</v>
      </c>
      <c r="E79" s="83" t="s">
        <v>525</v>
      </c>
      <c r="F79" s="84" t="s"/>
      <c r="G79" s="84">
        <v>3</v>
      </c>
      <c r="H79" s="84">
        <v>0.5</v>
      </c>
      <c r="I79" s="84">
        <v>0.5</v>
      </c>
      <c r="J79" s="71" t="s"/>
      <c r="K79" s="84">
        <f>=ROUND(SUM(F79:I79),2)</f>
        <v>4</v>
      </c>
      <c r="L79" s="71" t="s"/>
    </row>
    <row r="80" spans="1:12" ht="26" customHeight="1">
      <c r="A80" s="80" t="s">
        <v>526</v>
      </c>
      <c r="B80" s="71" t="s"/>
      <c r="C80" s="105" t="s">
        <v>527</v>
      </c>
      <c r="D80" s="83" t="s">
        <v>528</v>
      </c>
      <c r="E80" s="83" t="s">
        <v>529</v>
      </c>
      <c r="F80" s="84" t="s"/>
      <c r="G80" s="84">
        <v>1.5</v>
      </c>
      <c r="H80" s="84" t="s"/>
      <c r="I80" s="84" t="s"/>
      <c r="J80" s="106">
        <v>0.25</v>
      </c>
      <c r="K80" s="84">
        <f>=ROUND(SUM(F80:I80),2)</f>
        <v>1.5</v>
      </c>
      <c r="L80" s="106">
        <f>=ROUND(SUM(F80:I84)+J80,2)</f>
        <v>8.75</v>
      </c>
    </row>
    <row r="81" spans="1:12" ht="26" customHeight="1">
      <c r="A81" s="80" t="s">
        <v>530</v>
      </c>
      <c r="B81" s="71" t="s"/>
      <c r="C81" s="71" t="s"/>
      <c r="D81" s="83" t="s">
        <v>531</v>
      </c>
      <c r="E81" s="83" t="s">
        <v>532</v>
      </c>
      <c r="F81" s="84" t="s"/>
      <c r="G81" s="84" t="s"/>
      <c r="H81" s="84">
        <v>1.5</v>
      </c>
      <c r="I81" s="84" t="s"/>
      <c r="J81" s="71" t="s"/>
      <c r="K81" s="84">
        <f>=ROUND(SUM(F81:I81),2)</f>
        <v>1.5</v>
      </c>
      <c r="L81" s="71" t="s"/>
    </row>
    <row r="82" spans="1:12" ht="26" customHeight="1">
      <c r="A82" s="80" t="s">
        <v>533</v>
      </c>
      <c r="B82" s="71" t="s"/>
      <c r="C82" s="71" t="s"/>
      <c r="D82" s="83" t="s">
        <v>534</v>
      </c>
      <c r="E82" s="83" t="s">
        <v>535</v>
      </c>
      <c r="F82" s="84" t="s"/>
      <c r="G82" s="84">
        <v>1</v>
      </c>
      <c r="H82" s="84">
        <v>1</v>
      </c>
      <c r="I82" s="84">
        <v>0.25</v>
      </c>
      <c r="J82" s="71" t="s"/>
      <c r="K82" s="84">
        <f>=ROUND(SUM(F82:I82),2)</f>
        <v>2.25</v>
      </c>
      <c r="L82" s="71" t="s"/>
    </row>
    <row r="83" spans="1:12" ht="26" customHeight="1">
      <c r="A83" s="80" t="s">
        <v>536</v>
      </c>
      <c r="B83" s="71" t="s"/>
      <c r="C83" s="71" t="s"/>
      <c r="D83" s="83" t="s">
        <v>537</v>
      </c>
      <c r="E83" s="83" t="s">
        <v>538</v>
      </c>
      <c r="F83" s="84" t="s"/>
      <c r="G83" s="84">
        <v>0.5</v>
      </c>
      <c r="H83" s="84">
        <v>0.5</v>
      </c>
      <c r="I83" s="84" t="s"/>
      <c r="J83" s="71" t="s"/>
      <c r="K83" s="84">
        <f>=ROUND(SUM(F83:I83),2)</f>
        <v>1</v>
      </c>
      <c r="L83" s="71" t="s"/>
    </row>
    <row r="84" spans="1:12" ht="26" customHeight="1">
      <c r="A84" s="80" t="s">
        <v>539</v>
      </c>
      <c r="B84" s="71" t="s"/>
      <c r="C84" s="71" t="s"/>
      <c r="D84" s="83" t="s">
        <v>540</v>
      </c>
      <c r="E84" s="83" t="s">
        <v>541</v>
      </c>
      <c r="F84" s="84" t="s"/>
      <c r="G84" s="84">
        <v>1</v>
      </c>
      <c r="H84" s="84">
        <v>1</v>
      </c>
      <c r="I84" s="84">
        <v>0.25</v>
      </c>
      <c r="J84" s="71" t="s"/>
      <c r="K84" s="84">
        <f>=ROUND(SUM(F84:I84),2)</f>
        <v>2.25</v>
      </c>
      <c r="L84" s="71" t="s"/>
    </row>
    <row r="85" spans="1:12" ht="26" customHeight="1">
      <c r="A85" s="80" t="s">
        <v>542</v>
      </c>
      <c r="B85" s="71" t="s"/>
      <c r="C85" s="105" t="s">
        <v>543</v>
      </c>
      <c r="D85" s="83" t="s">
        <v>544</v>
      </c>
      <c r="E85" s="83" t="s">
        <v>545</v>
      </c>
      <c r="F85" s="84" t="s"/>
      <c r="G85" s="84">
        <v>0.5</v>
      </c>
      <c r="H85" s="84" t="s"/>
      <c r="I85" s="84">
        <v>0.5</v>
      </c>
      <c r="J85" s="106" t="s"/>
      <c r="K85" s="84">
        <f>=ROUND(SUM(F85:I85),2)</f>
        <v>1</v>
      </c>
      <c r="L85" s="106">
        <f>=ROUND(SUM(F85:I89)+J85,2)</f>
        <v>9</v>
      </c>
    </row>
    <row r="86" spans="1:12" ht="26" customHeight="1">
      <c r="A86" s="80" t="s">
        <v>546</v>
      </c>
      <c r="B86" s="71" t="s"/>
      <c r="C86" s="71" t="s"/>
      <c r="D86" s="83" t="s">
        <v>547</v>
      </c>
      <c r="E86" s="83" t="s">
        <v>548</v>
      </c>
      <c r="F86" s="84" t="s"/>
      <c r="G86" s="84" t="s"/>
      <c r="H86" s="84">
        <v>1.5</v>
      </c>
      <c r="I86" s="84">
        <v>0.5</v>
      </c>
      <c r="J86" s="71" t="s"/>
      <c r="K86" s="84">
        <f>=ROUND(SUM(F86:I86),2)</f>
        <v>2</v>
      </c>
      <c r="L86" s="71" t="s"/>
    </row>
    <row r="87" spans="1:12" ht="26" customHeight="1">
      <c r="A87" s="80" t="s">
        <v>549</v>
      </c>
      <c r="B87" s="71" t="s"/>
      <c r="C87" s="71" t="s"/>
      <c r="D87" s="83" t="s">
        <v>550</v>
      </c>
      <c r="E87" s="83" t="s">
        <v>551</v>
      </c>
      <c r="F87" s="84">
        <v>0.25</v>
      </c>
      <c r="G87" s="84">
        <v>1</v>
      </c>
      <c r="H87" s="84">
        <v>1</v>
      </c>
      <c r="I87" s="84">
        <v>0.75</v>
      </c>
      <c r="J87" s="71" t="s"/>
      <c r="K87" s="84">
        <f>=ROUND(SUM(F87:I87),2)</f>
        <v>3</v>
      </c>
      <c r="L87" s="71" t="s"/>
    </row>
    <row r="88" spans="1:12" ht="26" customHeight="1">
      <c r="A88" s="80" t="s">
        <v>552</v>
      </c>
      <c r="B88" s="71" t="s"/>
      <c r="C88" s="71" t="s"/>
      <c r="D88" s="83" t="s">
        <v>553</v>
      </c>
      <c r="E88" s="83" t="s">
        <v>554</v>
      </c>
      <c r="F88" s="84" t="s"/>
      <c r="G88" s="84">
        <v>0.5</v>
      </c>
      <c r="H88" s="84">
        <v>0.75</v>
      </c>
      <c r="I88" s="84">
        <v>0.25</v>
      </c>
      <c r="J88" s="71" t="s"/>
      <c r="K88" s="84">
        <f>=ROUND(SUM(F88:I88),2)</f>
        <v>1.5</v>
      </c>
      <c r="L88" s="71" t="s"/>
    </row>
    <row r="89" spans="1:12" ht="26" customHeight="1">
      <c r="A89" s="80" t="s">
        <v>555</v>
      </c>
      <c r="B89" s="71" t="s"/>
      <c r="C89" s="71" t="s"/>
      <c r="D89" s="83" t="s">
        <v>556</v>
      </c>
      <c r="E89" s="83" t="s">
        <v>557</v>
      </c>
      <c r="F89" s="84" t="s"/>
      <c r="G89" s="84" t="s"/>
      <c r="H89" s="84">
        <v>1</v>
      </c>
      <c r="I89" s="84">
        <v>0.5</v>
      </c>
      <c r="J89" s="71" t="s"/>
      <c r="K89" s="84">
        <f>=ROUND(SUM(F89:I89),2)</f>
        <v>1.5</v>
      </c>
      <c r="L89" s="71" t="s"/>
    </row>
    <row r="90" spans="1:12" ht="48.5" customHeight="1">
      <c r="A90" s="80" t="s">
        <v>558</v>
      </c>
      <c r="B90" s="71" t="s"/>
      <c r="C90" s="105" t="s">
        <v>559</v>
      </c>
      <c r="D90" s="83" t="s">
        <v>560</v>
      </c>
      <c r="E90" s="83" t="s">
        <v>561</v>
      </c>
      <c r="F90" s="84" t="s"/>
      <c r="G90" s="84">
        <v>1.25</v>
      </c>
      <c r="H90" s="84">
        <v>0.5</v>
      </c>
      <c r="I90" s="84" t="s"/>
      <c r="J90" s="106">
        <v>0.5</v>
      </c>
      <c r="K90" s="84">
        <f>=ROUND(SUM(F90:I90),2)</f>
        <v>1.75</v>
      </c>
      <c r="L90" s="106">
        <f>=ROUND(SUM(F90:I94)+J90,2)</f>
        <v>6</v>
      </c>
    </row>
    <row r="91" spans="1:12" ht="34" customHeight="1">
      <c r="A91" s="80" t="s">
        <v>562</v>
      </c>
      <c r="B91" s="71" t="s"/>
      <c r="C91" s="71" t="s"/>
      <c r="D91" s="83" t="s">
        <v>563</v>
      </c>
      <c r="E91" s="83" t="s">
        <v>564</v>
      </c>
      <c r="F91" s="84" t="s"/>
      <c r="G91" s="84">
        <v>1</v>
      </c>
      <c r="H91" s="84">
        <v>0.25</v>
      </c>
      <c r="I91" s="84" t="s"/>
      <c r="J91" s="71" t="s"/>
      <c r="K91" s="84">
        <f>=ROUND(SUM(F91:I91),2)</f>
        <v>1.25</v>
      </c>
      <c r="L91" s="71" t="s"/>
    </row>
    <row r="92" spans="1:12" ht="26" customHeight="1">
      <c r="A92" s="80" t="s">
        <v>565</v>
      </c>
      <c r="B92" s="71" t="s"/>
      <c r="C92" s="71" t="s"/>
      <c r="D92" s="83" t="s">
        <v>566</v>
      </c>
      <c r="E92" s="83" t="s">
        <v>567</v>
      </c>
      <c r="F92" s="84" t="s"/>
      <c r="G92" s="84" t="s"/>
      <c r="H92" s="84">
        <v>0.5</v>
      </c>
      <c r="I92" s="84">
        <v>0.25</v>
      </c>
      <c r="J92" s="71" t="s"/>
      <c r="K92" s="84">
        <f>=ROUND(SUM(F92:I92),2)</f>
        <v>0.75</v>
      </c>
      <c r="L92" s="71" t="s"/>
    </row>
    <row r="93" spans="1:12" ht="26" customHeight="1">
      <c r="A93" s="80" t="s">
        <v>568</v>
      </c>
      <c r="B93" s="71" t="s"/>
      <c r="C93" s="71" t="s"/>
      <c r="D93" s="83" t="s">
        <v>569</v>
      </c>
      <c r="E93" s="83" t="s">
        <v>570</v>
      </c>
      <c r="F93" s="84" t="s"/>
      <c r="G93" s="84" t="s"/>
      <c r="H93" s="84">
        <v>0.5</v>
      </c>
      <c r="I93" s="84" t="s"/>
      <c r="J93" s="71" t="s"/>
      <c r="K93" s="84">
        <f>=ROUND(SUM(F93:I93),2)</f>
        <v>0.5</v>
      </c>
      <c r="L93" s="71" t="s"/>
    </row>
    <row r="94" spans="1:12" ht="26" customHeight="1">
      <c r="A94" s="80" t="s">
        <v>571</v>
      </c>
      <c r="B94" s="71" t="s"/>
      <c r="C94" s="71" t="s"/>
      <c r="D94" s="83" t="s">
        <v>572</v>
      </c>
      <c r="E94" s="83" t="s">
        <v>573</v>
      </c>
      <c r="F94" s="84" t="s"/>
      <c r="G94" s="84">
        <v>1</v>
      </c>
      <c r="H94" s="84">
        <v>0.25</v>
      </c>
      <c r="I94" s="84" t="s"/>
      <c r="J94" s="71" t="s"/>
      <c r="K94" s="84">
        <f>=ROUND(SUM(F94:I94),2)</f>
        <v>1.25</v>
      </c>
      <c r="L94" s="71" t="s"/>
    </row>
    <row r="95" spans="1:12" ht="26" customHeight="1">
      <c r="A95" s="80" t="s">
        <v>574</v>
      </c>
      <c r="B95" s="71" t="s"/>
      <c r="C95" s="105" t="s">
        <v>575</v>
      </c>
      <c r="D95" s="83" t="s">
        <v>576</v>
      </c>
      <c r="E95" s="83" t="s">
        <v>577</v>
      </c>
      <c r="F95" s="84" t="s"/>
      <c r="G95" s="84">
        <v>1.5</v>
      </c>
      <c r="H95" s="84" t="s"/>
      <c r="I95" s="84" t="s"/>
      <c r="J95" s="106">
        <v>0.5</v>
      </c>
      <c r="K95" s="84">
        <f>=ROUND(SUM(F95:I95),2)</f>
        <v>1.5</v>
      </c>
      <c r="L95" s="106">
        <f>=ROUND(SUM(F95:I97)+J95,2)</f>
        <v>4.5</v>
      </c>
    </row>
    <row r="96" spans="1:12" ht="26" customHeight="1">
      <c r="A96" s="80" t="s">
        <v>578</v>
      </c>
      <c r="B96" s="71" t="s"/>
      <c r="C96" s="71" t="s"/>
      <c r="D96" s="83" t="s">
        <v>579</v>
      </c>
      <c r="E96" s="83" t="s">
        <v>580</v>
      </c>
      <c r="F96" s="84" t="s"/>
      <c r="G96" s="84">
        <v>1</v>
      </c>
      <c r="H96" s="84" t="s"/>
      <c r="I96" s="84" t="s"/>
      <c r="J96" s="71" t="s"/>
      <c r="K96" s="84">
        <f>=ROUND(SUM(F96:I96),2)</f>
        <v>1</v>
      </c>
      <c r="L96" s="71" t="s"/>
    </row>
    <row r="97" spans="1:12" ht="26" customHeight="1">
      <c r="A97" s="80" t="s">
        <v>581</v>
      </c>
      <c r="B97" s="71" t="s"/>
      <c r="C97" s="71" t="s"/>
      <c r="D97" s="83" t="s">
        <v>582</v>
      </c>
      <c r="E97" s="83" t="s">
        <v>583</v>
      </c>
      <c r="F97" s="84" t="s"/>
      <c r="G97" s="84" t="s"/>
      <c r="H97" s="84">
        <v>1.5</v>
      </c>
      <c r="I97" s="84" t="s"/>
      <c r="J97" s="71" t="s"/>
      <c r="K97" s="84">
        <f>=ROUND(SUM(F97:I97),2)</f>
        <v>1.5</v>
      </c>
      <c r="L97" s="71" t="s"/>
    </row>
    <row r="98" spans="1:12" ht="26" customHeight="1">
      <c r="A98" s="107" t="s"/>
      <c r="B98" s="107" t="s">
        <v>584</v>
      </c>
      <c r="C98" s="107" t="s"/>
      <c r="D98" s="108" t="s">
        <v>585</v>
      </c>
      <c r="E98" s="108" t="s">
        <v>227</v>
      </c>
      <c r="F98" s="109">
        <f>=ROUND(SUM(F3:F97),2)</f>
        <v>12.5</v>
      </c>
      <c r="G98" s="109">
        <f>=ROUND(SUM(G3:G97),2)</f>
        <v>60</v>
      </c>
      <c r="H98" s="109">
        <f>=ROUND(SUM(H3:H97),2)</f>
        <v>70.5</v>
      </c>
      <c r="I98" s="109">
        <f>=ROUND(SUM(I3:I97),2)</f>
        <v>38.75</v>
      </c>
      <c r="J98" s="109">
        <f>=ROUND(SUM(J3:J97),2)</f>
        <v>13.75</v>
      </c>
      <c r="K98" s="109">
        <f>=ROUND(SUM(F98:J98),2)</f>
        <v>195.5</v>
      </c>
      <c r="L98" s="107" t="s"/>
    </row>
  </sheetData>
  <mergeCells count="99">
    <mergeCell ref="C90:C94"/>
    <mergeCell ref="J90:J94"/>
    <mergeCell ref="L90:L94"/>
    <mergeCell ref="C95:C97"/>
    <mergeCell ref="J95:J97"/>
    <mergeCell ref="L95:L97"/>
    <mergeCell ref="B75:B97"/>
    <mergeCell ref="C75:C79"/>
    <mergeCell ref="J75:J79"/>
    <mergeCell ref="L75:L79"/>
    <mergeCell ref="C80:C84"/>
    <mergeCell ref="J80:J84"/>
    <mergeCell ref="L80:L84"/>
    <mergeCell ref="C85:C89"/>
    <mergeCell ref="J85:J89"/>
    <mergeCell ref="L85:L89"/>
    <mergeCell ref="C71:C72"/>
    <mergeCell ref="J71:J72"/>
    <mergeCell ref="L71:L72"/>
    <mergeCell ref="C73:C74"/>
    <mergeCell ref="J73:J74"/>
    <mergeCell ref="L73:L74"/>
    <mergeCell ref="B63:B74"/>
    <mergeCell ref="C63:C65"/>
    <mergeCell ref="J63:J65"/>
    <mergeCell ref="L63:L65"/>
    <mergeCell ref="C66:C67"/>
    <mergeCell ref="J66:J67"/>
    <mergeCell ref="L66:L67"/>
    <mergeCell ref="C68:C70"/>
    <mergeCell ref="J68:J70"/>
    <mergeCell ref="L68:L70"/>
    <mergeCell ref="B56:B62"/>
    <mergeCell ref="C56:C58"/>
    <mergeCell ref="J56:J58"/>
    <mergeCell ref="L56:L58"/>
    <mergeCell ref="C59:C60"/>
    <mergeCell ref="J59:J60"/>
    <mergeCell ref="L59:L60"/>
    <mergeCell ref="C61:C62"/>
    <mergeCell ref="J61:J62"/>
    <mergeCell ref="L61:L62"/>
    <mergeCell ref="C51:C52"/>
    <mergeCell ref="J51:J52"/>
    <mergeCell ref="L51:L52"/>
    <mergeCell ref="C53:C55"/>
    <mergeCell ref="J53:J55"/>
    <mergeCell ref="L53:L55"/>
    <mergeCell ref="B44:B55"/>
    <mergeCell ref="C44:C46"/>
    <mergeCell ref="J44:J46"/>
    <mergeCell ref="L44:L46"/>
    <mergeCell ref="C47:C48"/>
    <mergeCell ref="J47:J48"/>
    <mergeCell ref="L47:L48"/>
    <mergeCell ref="C49:C50"/>
    <mergeCell ref="J49:J50"/>
    <mergeCell ref="L49:L50"/>
    <mergeCell ref="B35:B43"/>
    <mergeCell ref="C35:C37"/>
    <mergeCell ref="J35:J37"/>
    <mergeCell ref="L35:L37"/>
    <mergeCell ref="C38:C40"/>
    <mergeCell ref="J38:J40"/>
    <mergeCell ref="L38:L40"/>
    <mergeCell ref="C41:C43"/>
    <mergeCell ref="J41:J43"/>
    <mergeCell ref="L41:L43"/>
    <mergeCell ref="B29:B34"/>
    <mergeCell ref="C29:C31"/>
    <mergeCell ref="J29:J31"/>
    <mergeCell ref="L29:L31"/>
    <mergeCell ref="C32:C34"/>
    <mergeCell ref="J32:J34"/>
    <mergeCell ref="L32:L34"/>
    <mergeCell ref="B23:B28"/>
    <mergeCell ref="C23:C25"/>
    <mergeCell ref="J23:J25"/>
    <mergeCell ref="L23:L25"/>
    <mergeCell ref="C26:C28"/>
    <mergeCell ref="J26:J28"/>
    <mergeCell ref="L26:L28"/>
    <mergeCell ref="L14:L17"/>
    <mergeCell ref="C18:C20"/>
    <mergeCell ref="J18:J20"/>
    <mergeCell ref="L18:L20"/>
    <mergeCell ref="C21:C22"/>
    <mergeCell ref="J21:J22"/>
    <mergeCell ref="L21:L22"/>
    <mergeCell ref="A1:L1"/>
    <mergeCell ref="B3:B22"/>
    <mergeCell ref="C3:C9"/>
    <mergeCell ref="J3:J9"/>
    <mergeCell ref="L3:L9"/>
    <mergeCell ref="C10:C13"/>
    <mergeCell ref="J10:J13"/>
    <mergeCell ref="L10:L13"/>
    <mergeCell ref="C14:C17"/>
    <mergeCell ref="J14:J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8">
    <tabColor theme="0"/>
  </sheetPr>
  <dimension ref="E9"/>
  <sheetViews>
    <sheetView showGridLines="1" zoomScaleNormal="100" workbookViewId="0"/>
  </sheetViews>
  <sheetFormatPr baseColWidth="8" defaultRowHeight="14.5"/>
  <cols>
    <col min="1" max="1" width="22" customWidth="1"/>
    <col min="2" max="2" width="22.1797" customWidth="1"/>
    <col min="3" max="3" width="38.2695" customWidth="1"/>
    <col min="4" max="4" width="69.7266" customWidth="1"/>
    <col min="5" max="5" width="29" bestFit="1" customWidth="1"/>
  </cols>
  <sheetData>
    <row r="1" spans="1:5" ht="21">
      <c r="A1" s="110" t="s">
        <v>586</v>
      </c>
      <c r="B1" s="78" t="s"/>
      <c r="C1" s="78" t="s"/>
      <c r="D1" s="78" t="s"/>
      <c r="E1" s="78" t="s"/>
    </row>
    <row r="2" spans="1:5" ht="35.5" customHeight="1">
      <c r="A2" s="79" t="s">
        <v>587</v>
      </c>
      <c r="B2" s="79" t="s">
        <v>588</v>
      </c>
      <c r="C2" s="79" t="s">
        <v>589</v>
      </c>
      <c r="D2" s="79" t="s">
        <v>590</v>
      </c>
      <c r="E2" s="79" t="s">
        <v>591</v>
      </c>
    </row>
    <row r="3" spans="1:5" ht="46.5" customHeight="1">
      <c r="A3" s="111" t="s">
        <v>592</v>
      </c>
      <c r="B3" s="112" t="s">
        <v>593</v>
      </c>
      <c r="C3" s="112" t="s">
        <v>594</v>
      </c>
      <c r="D3" s="111" t="s">
        <v>595</v>
      </c>
      <c r="E3" s="111" t="s">
        <v>596</v>
      </c>
    </row>
    <row r="4" spans="1:5" ht="46.5" customHeight="1">
      <c r="A4" s="111" t="s">
        <v>597</v>
      </c>
      <c r="B4" s="112" t="s">
        <v>598</v>
      </c>
      <c r="C4" s="112" t="s">
        <v>599</v>
      </c>
      <c r="D4" s="111" t="s">
        <v>600</v>
      </c>
      <c r="E4" s="111" t="s">
        <v>252</v>
      </c>
    </row>
    <row r="5" spans="1:5" ht="46.5" customHeight="1">
      <c r="A5" s="111" t="s">
        <v>601</v>
      </c>
      <c r="B5" s="112" t="s">
        <v>602</v>
      </c>
      <c r="C5" s="112" t="s">
        <v>603</v>
      </c>
      <c r="D5" s="111" t="s">
        <v>604</v>
      </c>
      <c r="E5" s="111" t="s">
        <v>605</v>
      </c>
    </row>
    <row r="6" spans="1:5" ht="46.5" customHeight="1">
      <c r="A6" s="111" t="s">
        <v>606</v>
      </c>
      <c r="B6" s="112" t="s">
        <v>607</v>
      </c>
      <c r="C6" s="112" t="s">
        <v>608</v>
      </c>
      <c r="D6" s="111" t="s">
        <v>609</v>
      </c>
      <c r="E6" s="111" t="s">
        <v>596</v>
      </c>
    </row>
    <row r="7" spans="1:5" ht="46.5" customHeight="1">
      <c r="A7" s="111" t="s">
        <v>610</v>
      </c>
      <c r="B7" s="112" t="s">
        <v>611</v>
      </c>
      <c r="C7" s="112" t="s">
        <v>612</v>
      </c>
      <c r="D7" s="111" t="s">
        <v>613</v>
      </c>
      <c r="E7" s="111" t="s">
        <v>259</v>
      </c>
    </row>
    <row r="8" spans="1:5" ht="46.5" customHeight="1">
      <c r="A8" s="111" t="s">
        <v>614</v>
      </c>
      <c r="B8" s="112" t="s">
        <v>615</v>
      </c>
      <c r="C8" s="112" t="s">
        <v>616</v>
      </c>
      <c r="D8" s="111" t="s">
        <v>617</v>
      </c>
      <c r="E8" s="111" t="s">
        <v>596</v>
      </c>
    </row>
    <row r="9" spans="1:5" ht="46.5" customHeight="1">
      <c r="A9" s="111" t="s">
        <v>618</v>
      </c>
      <c r="B9" s="112" t="s">
        <v>619</v>
      </c>
      <c r="C9" s="112" t="s">
        <v>620</v>
      </c>
      <c r="D9" s="111" t="s">
        <v>621</v>
      </c>
      <c r="E9" s="111" t="s">
        <v>622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Sheet5">
    <tabColor theme="0"/>
  </sheetPr>
  <dimension ref="L322"/>
  <sheetViews>
    <sheetView showGridLines="1" workbookViewId="0"/>
  </sheetViews>
  <sheetFormatPr baseColWidth="8" defaultRowHeight="14.5"/>
  <cols>
    <col min="1" max="1" width="8.08984" customWidth="1"/>
    <col min="2" max="2" width="59.9062" bestFit="1" customWidth="1"/>
    <col min="3" max="3" width="4.45312" bestFit="1" customWidth="1"/>
    <col min="4" max="4" width="16.1797" bestFit="1" customWidth="1"/>
    <col min="5" max="5" width="13.6328" customWidth="1"/>
    <col min="6" max="6" width="8.36328" customWidth="1"/>
    <col min="7" max="7" width="7.36328" bestFit="1" customWidth="1"/>
    <col min="8" max="8" width="11" bestFit="1" customWidth="1"/>
    <col min="9" max="9" width="15.6328" bestFit="1" customWidth="1"/>
    <col min="10" max="10" width="12.3633" hidden="1" customWidth="1"/>
    <col min="11" max="11" width="8.08984" customWidth="1"/>
    <col min="12" max="12" width="9" customWidth="1"/>
  </cols>
  <sheetData>
    <row r="1" spans="1:12" ht="36" customHeight="1">
      <c r="A1" s="113" t="s">
        <v>623</v>
      </c>
      <c r="B1" s="114" t="s"/>
      <c r="C1" s="114" t="s"/>
      <c r="D1" s="114" t="s"/>
      <c r="E1" s="114" t="s"/>
      <c r="F1" s="114" t="s"/>
      <c r="G1" s="114" t="s"/>
      <c r="H1" s="114" t="s"/>
      <c r="I1" s="114" t="s"/>
      <c r="J1" s="114" t="s"/>
      <c r="K1" s="114" t="s"/>
      <c r="L1" s="114" t="s"/>
    </row>
    <row r="2" spans="1:12" ht="20" customHeight="1">
      <c r="A2" s="115" t="s">
        <v>624</v>
      </c>
      <c r="B2" s="115" t="s"/>
      <c r="C2" s="115" t="s"/>
      <c r="D2" s="115" t="s"/>
      <c r="E2" s="114" t="s"/>
      <c r="F2" s="114" t="s"/>
      <c r="G2" s="114" t="s"/>
      <c r="H2" s="114" t="s"/>
      <c r="I2" s="114" t="s"/>
      <c r="J2" s="114" t="s"/>
      <c r="K2" s="114" t="s"/>
      <c r="L2" s="114" t="s"/>
    </row>
    <row r="3" spans="1:12" ht="20" customHeight="1">
      <c r="A3" s="116" t="s">
        <v>625</v>
      </c>
      <c r="B3" s="116" t="s">
        <v>626</v>
      </c>
      <c r="C3" s="116" t="s">
        <v>627</v>
      </c>
      <c r="D3" s="116" t="s">
        <v>238</v>
      </c>
      <c r="E3" s="116" t="s">
        <v>628</v>
      </c>
      <c r="F3" s="116" t="s">
        <v>629</v>
      </c>
      <c r="G3" s="116" t="s">
        <v>630</v>
      </c>
      <c r="H3" s="116" t="s">
        <v>631</v>
      </c>
      <c r="I3" s="116" t="s">
        <v>632</v>
      </c>
      <c r="J3" s="116" t="s">
        <v>633</v>
      </c>
      <c r="K3" s="116" t="s">
        <v>634</v>
      </c>
      <c r="L3" s="116" t="s">
        <v>635</v>
      </c>
    </row>
    <row r="4" spans="1:12" ht="20" customHeight="1">
      <c r="A4" s="117" t="s">
        <v>636</v>
      </c>
      <c r="B4" s="118" t="s">
        <v>637</v>
      </c>
      <c r="C4" s="117">
        <v>1</v>
      </c>
      <c r="D4" s="117" t="s">
        <v>638</v>
      </c>
      <c r="E4" s="119">
        <v>46279</v>
      </c>
      <c r="F4" s="119">
        <v>46315</v>
      </c>
      <c r="G4" s="120">
        <v>21</v>
      </c>
      <c r="H4" s="121" t="s"/>
      <c r="I4" s="118" t="s"/>
      <c r="J4" s="118" t="s"/>
      <c r="K4" s="122" t="s">
        <v>639</v>
      </c>
      <c r="L4" s="123">
        <v>0</v>
      </c>
    </row>
    <row r="5" spans="1:12" ht="20" customHeight="1">
      <c r="A5" s="124" t="s">
        <v>640</v>
      </c>
      <c r="B5" s="125" t="s">
        <v>641</v>
      </c>
      <c r="C5" s="124">
        <v>2</v>
      </c>
      <c r="D5" s="124" t="s">
        <v>638</v>
      </c>
      <c r="E5" s="126">
        <v>46279</v>
      </c>
      <c r="F5" s="126">
        <v>46315</v>
      </c>
      <c r="G5" s="127">
        <v>21</v>
      </c>
      <c r="H5" s="128" t="s"/>
      <c r="I5" s="125" t="s"/>
      <c r="J5" s="125" t="s"/>
      <c r="K5" s="122" t="s">
        <v>639</v>
      </c>
      <c r="L5" s="123">
        <v>0</v>
      </c>
    </row>
    <row r="6" spans="1:12" ht="20" customHeight="1">
      <c r="A6" s="129" t="s">
        <v>642</v>
      </c>
      <c r="B6" s="122" t="s">
        <v>643</v>
      </c>
      <c r="C6" s="129">
        <v>3</v>
      </c>
      <c r="D6" s="129" t="s">
        <v>596</v>
      </c>
      <c r="E6" s="130">
        <v>46287</v>
      </c>
      <c r="F6" s="130">
        <v>46287</v>
      </c>
      <c r="G6" s="131">
        <v>1</v>
      </c>
      <c r="H6" s="132">
        <v>0.25</v>
      </c>
      <c r="I6" s="122" t="s">
        <v>644</v>
      </c>
      <c r="J6" s="122" t="s">
        <v>645</v>
      </c>
      <c r="K6" s="122" t="s">
        <v>639</v>
      </c>
      <c r="L6" s="133">
        <v>0</v>
      </c>
    </row>
    <row r="7" spans="1:12" ht="20" customHeight="1">
      <c r="A7" s="129" t="s">
        <v>646</v>
      </c>
      <c r="B7" s="122" t="s">
        <v>647</v>
      </c>
      <c r="C7" s="129">
        <v>3</v>
      </c>
      <c r="D7" s="129" t="s">
        <v>596</v>
      </c>
      <c r="E7" s="130">
        <v>46288</v>
      </c>
      <c r="F7" s="130">
        <v>46304</v>
      </c>
      <c r="G7" s="131">
        <v>7</v>
      </c>
      <c r="H7" s="132">
        <v>0.25</v>
      </c>
      <c r="I7" s="122" t="s">
        <v>644</v>
      </c>
      <c r="J7" s="122" t="s">
        <v>648</v>
      </c>
      <c r="K7" s="122" t="s">
        <v>639</v>
      </c>
      <c r="L7" s="133">
        <v>0</v>
      </c>
    </row>
    <row r="8" spans="1:12" ht="20" customHeight="1">
      <c r="A8" s="129" t="s">
        <v>649</v>
      </c>
      <c r="B8" s="122" t="s">
        <v>650</v>
      </c>
      <c r="C8" s="129">
        <v>3</v>
      </c>
      <c r="D8" s="129" t="s">
        <v>596</v>
      </c>
      <c r="E8" s="130">
        <v>46288</v>
      </c>
      <c r="F8" s="130">
        <v>46304</v>
      </c>
      <c r="G8" s="131">
        <v>7</v>
      </c>
      <c r="H8" s="132">
        <v>0.25</v>
      </c>
      <c r="I8" s="122" t="s">
        <v>644</v>
      </c>
      <c r="J8" s="122" t="s">
        <v>651</v>
      </c>
      <c r="K8" s="122" t="s">
        <v>639</v>
      </c>
      <c r="L8" s="133">
        <v>0</v>
      </c>
    </row>
    <row r="9" spans="1:12" ht="20" customHeight="1">
      <c r="A9" s="129" t="s">
        <v>652</v>
      </c>
      <c r="B9" s="122" t="s">
        <v>653</v>
      </c>
      <c r="C9" s="129">
        <v>3</v>
      </c>
      <c r="D9" s="129" t="s">
        <v>596</v>
      </c>
      <c r="E9" s="130">
        <v>46288</v>
      </c>
      <c r="F9" s="130">
        <v>46307</v>
      </c>
      <c r="G9" s="131">
        <v>8</v>
      </c>
      <c r="H9" s="132">
        <v>0.5</v>
      </c>
      <c r="I9" s="122" t="s">
        <v>644</v>
      </c>
      <c r="J9" s="122" t="s">
        <v>654</v>
      </c>
      <c r="K9" s="122" t="s">
        <v>639</v>
      </c>
      <c r="L9" s="133">
        <v>0</v>
      </c>
    </row>
    <row r="10" spans="1:12" ht="20" customHeight="1">
      <c r="A10" s="129" t="s">
        <v>655</v>
      </c>
      <c r="B10" s="122" t="s">
        <v>656</v>
      </c>
      <c r="C10" s="129">
        <v>3</v>
      </c>
      <c r="D10" s="129" t="s">
        <v>596</v>
      </c>
      <c r="E10" s="130">
        <v>46314</v>
      </c>
      <c r="F10" s="130">
        <v>46315</v>
      </c>
      <c r="G10" s="131">
        <v>2</v>
      </c>
      <c r="H10" s="132">
        <v>0.5</v>
      </c>
      <c r="I10" s="122" t="s">
        <v>657</v>
      </c>
      <c r="J10" s="122" t="s">
        <v>652</v>
      </c>
      <c r="K10" s="122" t="s">
        <v>639</v>
      </c>
      <c r="L10" s="133">
        <v>0</v>
      </c>
    </row>
    <row r="11" spans="1:12" ht="20" customHeight="1">
      <c r="A11" s="129" t="s">
        <v>658</v>
      </c>
      <c r="B11" s="122" t="s">
        <v>659</v>
      </c>
      <c r="C11" s="129">
        <v>3</v>
      </c>
      <c r="D11" s="129" t="s">
        <v>252</v>
      </c>
      <c r="E11" s="130">
        <v>46279</v>
      </c>
      <c r="F11" s="130">
        <v>46279</v>
      </c>
      <c r="G11" s="131">
        <v>1</v>
      </c>
      <c r="H11" s="132">
        <v>1</v>
      </c>
      <c r="I11" s="122" t="s">
        <v>644</v>
      </c>
      <c r="J11" s="122" t="s"/>
      <c r="K11" s="122" t="s">
        <v>639</v>
      </c>
      <c r="L11" s="133">
        <v>0</v>
      </c>
    </row>
    <row r="12" spans="1:12" ht="20" customHeight="1">
      <c r="A12" s="129" t="s">
        <v>660</v>
      </c>
      <c r="B12" s="122" t="s">
        <v>661</v>
      </c>
      <c r="C12" s="129">
        <v>3</v>
      </c>
      <c r="D12" s="129" t="s">
        <v>252</v>
      </c>
      <c r="E12" s="130">
        <v>46279</v>
      </c>
      <c r="F12" s="130">
        <v>46280</v>
      </c>
      <c r="G12" s="131">
        <v>2</v>
      </c>
      <c r="H12" s="132">
        <v>1</v>
      </c>
      <c r="I12" s="122" t="s">
        <v>644</v>
      </c>
      <c r="J12" s="122" t="s"/>
      <c r="K12" s="122" t="s">
        <v>639</v>
      </c>
      <c r="L12" s="123">
        <v>0</v>
      </c>
    </row>
    <row r="13" spans="1:12" ht="20" customHeight="1">
      <c r="A13" s="129" t="s">
        <v>662</v>
      </c>
      <c r="B13" s="122" t="s">
        <v>663</v>
      </c>
      <c r="C13" s="129">
        <v>3</v>
      </c>
      <c r="D13" s="129" t="s">
        <v>252</v>
      </c>
      <c r="E13" s="130">
        <v>46279</v>
      </c>
      <c r="F13" s="130">
        <v>46282</v>
      </c>
      <c r="G13" s="131">
        <v>4</v>
      </c>
      <c r="H13" s="132">
        <v>1.5</v>
      </c>
      <c r="I13" s="122" t="s">
        <v>644</v>
      </c>
      <c r="J13" s="122" t="s"/>
      <c r="K13" s="122" t="s">
        <v>639</v>
      </c>
      <c r="L13" s="134">
        <v>0</v>
      </c>
    </row>
    <row r="14" spans="1:12" ht="20" customHeight="1">
      <c r="A14" s="129" t="s">
        <v>664</v>
      </c>
      <c r="B14" s="122" t="s">
        <v>665</v>
      </c>
      <c r="C14" s="129">
        <v>3</v>
      </c>
      <c r="D14" s="129" t="s">
        <v>252</v>
      </c>
      <c r="E14" s="130">
        <v>46279</v>
      </c>
      <c r="F14" s="130">
        <v>46287</v>
      </c>
      <c r="G14" s="131">
        <v>7</v>
      </c>
      <c r="H14" s="132">
        <v>3</v>
      </c>
      <c r="I14" s="122" t="s">
        <v>644</v>
      </c>
      <c r="J14" s="122" t="s"/>
      <c r="K14" s="122" t="s">
        <v>639</v>
      </c>
      <c r="L14" s="135">
        <v>0</v>
      </c>
    </row>
    <row r="15" spans="1:12" ht="20" customHeight="1">
      <c r="A15" s="129" t="s">
        <v>666</v>
      </c>
      <c r="B15" s="122" t="s">
        <v>667</v>
      </c>
      <c r="C15" s="129">
        <v>3</v>
      </c>
      <c r="D15" s="129" t="s">
        <v>259</v>
      </c>
      <c r="E15" s="130">
        <v>46279</v>
      </c>
      <c r="F15" s="130">
        <v>46279</v>
      </c>
      <c r="G15" s="131">
        <v>1</v>
      </c>
      <c r="H15" s="132">
        <v>0.25</v>
      </c>
      <c r="I15" s="122" t="s">
        <v>644</v>
      </c>
      <c r="J15" s="122" t="s"/>
      <c r="K15" s="122" t="s">
        <v>639</v>
      </c>
      <c r="L15" s="134">
        <v>0</v>
      </c>
    </row>
    <row r="16" spans="1:12" ht="20" customHeight="1">
      <c r="A16" s="129" t="s">
        <v>668</v>
      </c>
      <c r="B16" s="122" t="s">
        <v>669</v>
      </c>
      <c r="C16" s="129">
        <v>3</v>
      </c>
      <c r="D16" s="129" t="s">
        <v>259</v>
      </c>
      <c r="E16" s="130">
        <v>46279</v>
      </c>
      <c r="F16" s="130">
        <v>46280</v>
      </c>
      <c r="G16" s="131">
        <v>2</v>
      </c>
      <c r="H16" s="132">
        <v>1.5</v>
      </c>
      <c r="I16" s="122" t="s">
        <v>644</v>
      </c>
      <c r="J16" s="122" t="s"/>
      <c r="K16" s="122" t="s">
        <v>639</v>
      </c>
      <c r="L16" s="134">
        <v>0</v>
      </c>
    </row>
    <row r="17" spans="1:12" ht="20" customHeight="1">
      <c r="A17" s="129" t="s">
        <v>670</v>
      </c>
      <c r="B17" s="122" t="s">
        <v>671</v>
      </c>
      <c r="C17" s="129">
        <v>3</v>
      </c>
      <c r="D17" s="129" t="s">
        <v>259</v>
      </c>
      <c r="E17" s="130">
        <v>46279</v>
      </c>
      <c r="F17" s="130">
        <v>46280</v>
      </c>
      <c r="G17" s="131">
        <v>2</v>
      </c>
      <c r="H17" s="132">
        <v>0.25</v>
      </c>
      <c r="I17" s="122" t="s">
        <v>644</v>
      </c>
      <c r="J17" s="122" t="s"/>
      <c r="K17" s="122" t="s">
        <v>639</v>
      </c>
      <c r="L17" s="134">
        <v>0</v>
      </c>
    </row>
    <row r="18" spans="1:12" ht="20" customHeight="1">
      <c r="A18" s="129" t="s">
        <v>672</v>
      </c>
      <c r="B18" s="122" t="s">
        <v>673</v>
      </c>
      <c r="C18" s="129">
        <v>3</v>
      </c>
      <c r="D18" s="129" t="s">
        <v>259</v>
      </c>
      <c r="E18" s="130">
        <v>46279</v>
      </c>
      <c r="F18" s="130">
        <v>46281</v>
      </c>
      <c r="G18" s="131">
        <v>3</v>
      </c>
      <c r="H18" s="132">
        <v>0.5</v>
      </c>
      <c r="I18" s="122" t="s">
        <v>644</v>
      </c>
      <c r="J18" s="122" t="s"/>
      <c r="K18" s="122" t="s">
        <v>639</v>
      </c>
      <c r="L18" s="134">
        <v>0</v>
      </c>
    </row>
    <row r="19" spans="1:12" ht="20" customHeight="1">
      <c r="A19" s="124" t="s">
        <v>674</v>
      </c>
      <c r="B19" s="125" t="s">
        <v>675</v>
      </c>
      <c r="C19" s="124">
        <v>2</v>
      </c>
      <c r="D19" s="124" t="s">
        <v>638</v>
      </c>
      <c r="E19" s="126">
        <v>46279</v>
      </c>
      <c r="F19" s="126">
        <v>46307</v>
      </c>
      <c r="G19" s="127">
        <v>15</v>
      </c>
      <c r="H19" s="128" t="s"/>
      <c r="I19" s="125" t="s"/>
      <c r="J19" s="125" t="s"/>
      <c r="K19" s="122" t="s">
        <v>639</v>
      </c>
      <c r="L19" s="134">
        <v>0</v>
      </c>
    </row>
    <row r="20" spans="1:12" ht="20" customHeight="1">
      <c r="A20" s="129" t="s">
        <v>676</v>
      </c>
      <c r="B20" s="122" t="s">
        <v>677</v>
      </c>
      <c r="C20" s="129">
        <v>3</v>
      </c>
      <c r="D20" s="129" t="s">
        <v>596</v>
      </c>
      <c r="E20" s="130">
        <v>46288</v>
      </c>
      <c r="F20" s="130">
        <v>46307</v>
      </c>
      <c r="G20" s="131">
        <v>8</v>
      </c>
      <c r="H20" s="132">
        <v>0.25</v>
      </c>
      <c r="I20" s="122" t="s">
        <v>644</v>
      </c>
      <c r="J20" s="122" t="s">
        <v>678</v>
      </c>
      <c r="K20" s="122" t="s">
        <v>639</v>
      </c>
      <c r="L20" s="134">
        <v>0</v>
      </c>
    </row>
    <row r="21" spans="1:12" ht="27.5" customHeight="1">
      <c r="A21" s="129" t="s">
        <v>679</v>
      </c>
      <c r="B21" s="122" t="s">
        <v>680</v>
      </c>
      <c r="C21" s="129">
        <v>3</v>
      </c>
      <c r="D21" s="129" t="s">
        <v>252</v>
      </c>
      <c r="E21" s="130">
        <v>46279</v>
      </c>
      <c r="F21" s="130">
        <v>46288</v>
      </c>
      <c r="G21" s="131">
        <v>8</v>
      </c>
      <c r="H21" s="132">
        <v>1.25</v>
      </c>
      <c r="I21" s="122" t="s">
        <v>681</v>
      </c>
      <c r="J21" s="122" t="s"/>
      <c r="K21" s="122" t="s">
        <v>639</v>
      </c>
      <c r="L21" s="134">
        <v>0</v>
      </c>
    </row>
    <row r="22" spans="1:12" ht="20" customHeight="1">
      <c r="A22" s="129" t="s">
        <v>682</v>
      </c>
      <c r="B22" s="122" t="s">
        <v>683</v>
      </c>
      <c r="C22" s="129">
        <v>3</v>
      </c>
      <c r="D22" s="129" t="s">
        <v>252</v>
      </c>
      <c r="E22" s="130">
        <v>46279</v>
      </c>
      <c r="F22" s="130">
        <v>46289</v>
      </c>
      <c r="G22" s="131">
        <v>9</v>
      </c>
      <c r="H22" s="132">
        <v>1</v>
      </c>
      <c r="I22" s="122" t="s">
        <v>644</v>
      </c>
      <c r="J22" s="122" t="s"/>
      <c r="K22" s="122" t="s">
        <v>639</v>
      </c>
      <c r="L22" s="134">
        <v>0</v>
      </c>
    </row>
    <row r="23" spans="1:12" ht="20" customHeight="1">
      <c r="A23" s="129" t="s">
        <v>684</v>
      </c>
      <c r="B23" s="122" t="s">
        <v>685</v>
      </c>
      <c r="C23" s="129">
        <v>3</v>
      </c>
      <c r="D23" s="129" t="s">
        <v>259</v>
      </c>
      <c r="E23" s="130">
        <v>46279</v>
      </c>
      <c r="F23" s="130">
        <v>46281</v>
      </c>
      <c r="G23" s="131">
        <v>3</v>
      </c>
      <c r="H23" s="132">
        <v>0.5</v>
      </c>
      <c r="I23" s="122" t="s">
        <v>681</v>
      </c>
      <c r="J23" s="122" t="s"/>
      <c r="K23" s="122" t="s">
        <v>639</v>
      </c>
      <c r="L23" s="134">
        <v>0</v>
      </c>
    </row>
    <row r="24" spans="1:12" ht="20" customHeight="1">
      <c r="A24" s="129" t="s">
        <v>686</v>
      </c>
      <c r="B24" s="122" t="s">
        <v>687</v>
      </c>
      <c r="C24" s="129">
        <v>3</v>
      </c>
      <c r="D24" s="129" t="s">
        <v>259</v>
      </c>
      <c r="E24" s="130">
        <v>46279</v>
      </c>
      <c r="F24" s="130">
        <v>46282</v>
      </c>
      <c r="G24" s="131">
        <v>4</v>
      </c>
      <c r="H24" s="132">
        <v>0.25</v>
      </c>
      <c r="I24" s="122" t="s">
        <v>644</v>
      </c>
      <c r="J24" s="122" t="s"/>
      <c r="K24" s="122" t="s">
        <v>639</v>
      </c>
      <c r="L24" s="135">
        <v>0</v>
      </c>
    </row>
    <row r="25" spans="1:12" ht="20" customHeight="1">
      <c r="A25" s="129" t="s">
        <v>688</v>
      </c>
      <c r="B25" s="122" t="s">
        <v>689</v>
      </c>
      <c r="C25" s="129">
        <v>3</v>
      </c>
      <c r="D25" s="129" t="s">
        <v>259</v>
      </c>
      <c r="E25" s="130">
        <v>46282</v>
      </c>
      <c r="F25" s="130">
        <v>46282</v>
      </c>
      <c r="G25" s="131">
        <v>1</v>
      </c>
      <c r="H25" s="132">
        <v>0.5</v>
      </c>
      <c r="I25" s="122" t="s">
        <v>681</v>
      </c>
      <c r="J25" s="122" t="s">
        <v>684</v>
      </c>
      <c r="K25" s="122" t="s">
        <v>639</v>
      </c>
      <c r="L25" s="135">
        <v>0</v>
      </c>
    </row>
    <row r="26" spans="1:12" ht="33" customHeight="1">
      <c r="A26" s="117" t="s">
        <v>690</v>
      </c>
      <c r="B26" s="118" t="s">
        <v>691</v>
      </c>
      <c r="C26" s="117">
        <v>1</v>
      </c>
      <c r="D26" s="117" t="s">
        <v>638</v>
      </c>
      <c r="E26" s="119">
        <v>46279</v>
      </c>
      <c r="F26" s="119">
        <v>46346</v>
      </c>
      <c r="G26" s="120">
        <v>44</v>
      </c>
      <c r="H26" s="121" t="s"/>
      <c r="I26" s="118" t="s"/>
      <c r="J26" s="118" t="s"/>
      <c r="K26" s="122" t="s">
        <v>639</v>
      </c>
      <c r="L26" s="134">
        <v>0</v>
      </c>
    </row>
    <row r="27" spans="1:12" ht="20" customHeight="1">
      <c r="A27" s="124" t="s">
        <v>692</v>
      </c>
      <c r="B27" s="125" t="s">
        <v>693</v>
      </c>
      <c r="C27" s="124">
        <v>2</v>
      </c>
      <c r="D27" s="124" t="s">
        <v>638</v>
      </c>
      <c r="E27" s="126">
        <v>46279</v>
      </c>
      <c r="F27" s="126">
        <v>46316</v>
      </c>
      <c r="G27" s="127">
        <v>22</v>
      </c>
      <c r="H27" s="128" t="s"/>
      <c r="I27" s="125" t="s"/>
      <c r="J27" s="125" t="s"/>
      <c r="K27" s="122" t="s">
        <v>639</v>
      </c>
      <c r="L27" s="134">
        <v>0</v>
      </c>
    </row>
    <row r="28" spans="1:12" ht="20" customHeight="1">
      <c r="A28" s="129" t="s">
        <v>694</v>
      </c>
      <c r="B28" s="122" t="s">
        <v>695</v>
      </c>
      <c r="C28" s="129">
        <v>3</v>
      </c>
      <c r="D28" s="129" t="s">
        <v>596</v>
      </c>
      <c r="E28" s="130">
        <v>46279</v>
      </c>
      <c r="F28" s="130">
        <v>46279</v>
      </c>
      <c r="G28" s="131">
        <v>1</v>
      </c>
      <c r="H28" s="132">
        <v>1</v>
      </c>
      <c r="I28" s="122" t="s">
        <v>657</v>
      </c>
      <c r="J28" s="122" t="s"/>
      <c r="K28" s="122" t="s">
        <v>639</v>
      </c>
      <c r="L28" s="134">
        <v>0</v>
      </c>
    </row>
    <row r="29" spans="1:12" ht="20" customHeight="1">
      <c r="A29" s="129" t="s">
        <v>696</v>
      </c>
      <c r="B29" s="122" t="s">
        <v>697</v>
      </c>
      <c r="C29" s="129">
        <v>3</v>
      </c>
      <c r="D29" s="129" t="s">
        <v>596</v>
      </c>
      <c r="E29" s="130">
        <v>46307</v>
      </c>
      <c r="F29" s="130">
        <v>46307</v>
      </c>
      <c r="G29" s="131">
        <v>1</v>
      </c>
      <c r="H29" s="132">
        <v>0.25</v>
      </c>
      <c r="I29" s="122" t="s">
        <v>644</v>
      </c>
      <c r="J29" s="122" t="s"/>
      <c r="K29" s="122" t="s">
        <v>639</v>
      </c>
      <c r="L29" s="134">
        <v>0</v>
      </c>
    </row>
    <row r="30" spans="1:12" ht="20" customHeight="1">
      <c r="A30" s="129" t="s">
        <v>698</v>
      </c>
      <c r="B30" s="122" t="s">
        <v>699</v>
      </c>
      <c r="C30" s="129">
        <v>3</v>
      </c>
      <c r="D30" s="129" t="s">
        <v>596</v>
      </c>
      <c r="E30" s="130">
        <v>46307</v>
      </c>
      <c r="F30" s="130">
        <v>46308</v>
      </c>
      <c r="G30" s="131">
        <v>2</v>
      </c>
      <c r="H30" s="132">
        <v>0.5</v>
      </c>
      <c r="I30" s="122" t="s">
        <v>644</v>
      </c>
      <c r="J30" s="122" t="s"/>
      <c r="K30" s="122" t="s">
        <v>639</v>
      </c>
      <c r="L30" s="134">
        <v>0</v>
      </c>
    </row>
    <row r="31" spans="1:12" ht="20" customHeight="1">
      <c r="A31" s="129" t="s">
        <v>700</v>
      </c>
      <c r="B31" s="122" t="s">
        <v>701</v>
      </c>
      <c r="C31" s="129">
        <v>3</v>
      </c>
      <c r="D31" s="129" t="s">
        <v>596</v>
      </c>
      <c r="E31" s="130">
        <v>46307</v>
      </c>
      <c r="F31" s="130">
        <v>46308</v>
      </c>
      <c r="G31" s="131">
        <v>2</v>
      </c>
      <c r="H31" s="132">
        <v>0.75</v>
      </c>
      <c r="I31" s="122" t="s">
        <v>644</v>
      </c>
      <c r="J31" s="122" t="s">
        <v>702</v>
      </c>
      <c r="K31" s="122" t="s">
        <v>639</v>
      </c>
      <c r="L31" s="134">
        <v>0</v>
      </c>
    </row>
    <row r="32" spans="1:12" ht="20" customHeight="1">
      <c r="A32" s="129" t="s">
        <v>703</v>
      </c>
      <c r="B32" s="122" t="s">
        <v>704</v>
      </c>
      <c r="C32" s="129">
        <v>3</v>
      </c>
      <c r="D32" s="129" t="s">
        <v>596</v>
      </c>
      <c r="E32" s="130">
        <v>46314</v>
      </c>
      <c r="F32" s="130">
        <v>46316</v>
      </c>
      <c r="G32" s="131">
        <v>3</v>
      </c>
      <c r="H32" s="132">
        <v>1</v>
      </c>
      <c r="I32" s="122" t="s">
        <v>657</v>
      </c>
      <c r="J32" s="122" t="s">
        <v>700</v>
      </c>
      <c r="K32" s="122" t="s">
        <v>639</v>
      </c>
      <c r="L32" s="134">
        <v>0</v>
      </c>
    </row>
    <row r="33" spans="1:12" ht="20" customHeight="1">
      <c r="A33" s="129" t="s">
        <v>705</v>
      </c>
      <c r="B33" s="122" t="s">
        <v>706</v>
      </c>
      <c r="C33" s="129">
        <v>3</v>
      </c>
      <c r="D33" s="129" t="s">
        <v>252</v>
      </c>
      <c r="E33" s="130">
        <v>46289</v>
      </c>
      <c r="F33" s="130">
        <v>46294</v>
      </c>
      <c r="G33" s="131">
        <v>3</v>
      </c>
      <c r="H33" s="132">
        <v>1.5</v>
      </c>
      <c r="I33" s="122" t="s">
        <v>644</v>
      </c>
      <c r="J33" s="122" t="s">
        <v>694</v>
      </c>
      <c r="K33" s="122" t="s">
        <v>639</v>
      </c>
      <c r="L33" s="134">
        <v>0</v>
      </c>
    </row>
    <row r="34" spans="1:12" ht="20" customHeight="1">
      <c r="A34" s="129" t="s">
        <v>707</v>
      </c>
      <c r="B34" s="122" t="s">
        <v>708</v>
      </c>
      <c r="C34" s="129">
        <v>3</v>
      </c>
      <c r="D34" s="129" t="s">
        <v>259</v>
      </c>
      <c r="E34" s="130">
        <v>46282</v>
      </c>
      <c r="F34" s="130">
        <v>46283</v>
      </c>
      <c r="G34" s="131">
        <v>2</v>
      </c>
      <c r="H34" s="132">
        <v>0.5</v>
      </c>
      <c r="I34" s="122" t="s">
        <v>644</v>
      </c>
      <c r="J34" s="122" t="s">
        <v>694</v>
      </c>
      <c r="K34" s="122" t="s">
        <v>639</v>
      </c>
      <c r="L34" s="135">
        <v>0</v>
      </c>
    </row>
    <row r="35" spans="1:12" ht="20" customHeight="1">
      <c r="A35" s="129" t="s">
        <v>709</v>
      </c>
      <c r="B35" s="122" t="s">
        <v>710</v>
      </c>
      <c r="C35" s="129">
        <v>3</v>
      </c>
      <c r="D35" s="129" t="s">
        <v>259</v>
      </c>
      <c r="E35" s="130">
        <v>46282</v>
      </c>
      <c r="F35" s="130">
        <v>46283</v>
      </c>
      <c r="G35" s="131">
        <v>2</v>
      </c>
      <c r="H35" s="132">
        <v>0.5</v>
      </c>
      <c r="I35" s="122" t="s">
        <v>644</v>
      </c>
      <c r="J35" s="122" t="s">
        <v>694</v>
      </c>
      <c r="K35" s="122" t="s">
        <v>639</v>
      </c>
      <c r="L35" s="134">
        <v>0</v>
      </c>
    </row>
    <row r="36" spans="1:12" ht="20" customHeight="1">
      <c r="A36" s="129" t="s">
        <v>711</v>
      </c>
      <c r="B36" s="122" t="s">
        <v>712</v>
      </c>
      <c r="C36" s="129">
        <v>3</v>
      </c>
      <c r="D36" s="129" t="s">
        <v>259</v>
      </c>
      <c r="E36" s="130">
        <v>46282</v>
      </c>
      <c r="F36" s="130">
        <v>46286</v>
      </c>
      <c r="G36" s="131">
        <v>3</v>
      </c>
      <c r="H36" s="132">
        <v>1</v>
      </c>
      <c r="I36" s="122" t="s">
        <v>644</v>
      </c>
      <c r="J36" s="122" t="s">
        <v>694</v>
      </c>
      <c r="K36" s="122" t="s">
        <v>639</v>
      </c>
      <c r="L36" s="134">
        <v>0</v>
      </c>
    </row>
    <row r="37" spans="1:12" ht="20" customHeight="1">
      <c r="A37" s="124" t="s">
        <v>713</v>
      </c>
      <c r="B37" s="125" t="s">
        <v>714</v>
      </c>
      <c r="C37" s="124">
        <v>2</v>
      </c>
      <c r="D37" s="124" t="s">
        <v>638</v>
      </c>
      <c r="E37" s="126">
        <v>46279</v>
      </c>
      <c r="F37" s="126">
        <v>46316</v>
      </c>
      <c r="G37" s="127">
        <v>22</v>
      </c>
      <c r="H37" s="128" t="s"/>
      <c r="I37" s="125" t="s"/>
      <c r="J37" s="125" t="s"/>
      <c r="K37" s="122" t="s">
        <v>639</v>
      </c>
      <c r="L37" s="134">
        <v>0</v>
      </c>
    </row>
    <row r="38" spans="1:12" ht="20" customHeight="1">
      <c r="A38" s="129" t="s">
        <v>715</v>
      </c>
      <c r="B38" s="122" t="s">
        <v>716</v>
      </c>
      <c r="C38" s="129">
        <v>3</v>
      </c>
      <c r="D38" s="129" t="s">
        <v>596</v>
      </c>
      <c r="E38" s="130">
        <v>46279</v>
      </c>
      <c r="F38" s="130">
        <v>46280</v>
      </c>
      <c r="G38" s="131">
        <v>2</v>
      </c>
      <c r="H38" s="132">
        <v>0.25</v>
      </c>
      <c r="I38" s="122" t="s">
        <v>657</v>
      </c>
      <c r="J38" s="122" t="s"/>
      <c r="K38" s="122" t="s">
        <v>639</v>
      </c>
      <c r="L38" s="134">
        <v>0</v>
      </c>
    </row>
    <row r="39" spans="1:12" ht="20" customHeight="1">
      <c r="A39" s="129" t="s">
        <v>717</v>
      </c>
      <c r="B39" s="122" t="s">
        <v>718</v>
      </c>
      <c r="C39" s="129">
        <v>3</v>
      </c>
      <c r="D39" s="129" t="s">
        <v>596</v>
      </c>
      <c r="E39" s="130">
        <v>46307</v>
      </c>
      <c r="F39" s="130">
        <v>46309</v>
      </c>
      <c r="G39" s="131">
        <v>3</v>
      </c>
      <c r="H39" s="132">
        <v>0.5</v>
      </c>
      <c r="I39" s="122" t="s">
        <v>644</v>
      </c>
      <c r="J39" s="122" t="s"/>
      <c r="K39" s="122" t="s">
        <v>639</v>
      </c>
      <c r="L39" s="134">
        <v>0</v>
      </c>
    </row>
    <row r="40" spans="1:12" ht="20" customHeight="1">
      <c r="A40" s="129" t="s">
        <v>719</v>
      </c>
      <c r="B40" s="122" t="s">
        <v>720</v>
      </c>
      <c r="C40" s="129">
        <v>3</v>
      </c>
      <c r="D40" s="129" t="s">
        <v>596</v>
      </c>
      <c r="E40" s="130">
        <v>46307</v>
      </c>
      <c r="F40" s="130">
        <v>46309</v>
      </c>
      <c r="G40" s="131">
        <v>3</v>
      </c>
      <c r="H40" s="132">
        <v>0.25</v>
      </c>
      <c r="I40" s="122" t="s">
        <v>644</v>
      </c>
      <c r="J40" s="122" t="s">
        <v>721</v>
      </c>
      <c r="K40" s="122" t="s">
        <v>639</v>
      </c>
      <c r="L40" s="134">
        <v>0</v>
      </c>
    </row>
    <row r="41" spans="1:12" ht="20" customHeight="1">
      <c r="A41" s="129" t="s">
        <v>722</v>
      </c>
      <c r="B41" s="122" t="s">
        <v>723</v>
      </c>
      <c r="C41" s="129">
        <v>3</v>
      </c>
      <c r="D41" s="129" t="s">
        <v>596</v>
      </c>
      <c r="E41" s="130">
        <v>46314</v>
      </c>
      <c r="F41" s="130">
        <v>46316</v>
      </c>
      <c r="G41" s="131">
        <v>3</v>
      </c>
      <c r="H41" s="132">
        <v>0.5</v>
      </c>
      <c r="I41" s="122" t="s">
        <v>657</v>
      </c>
      <c r="J41" s="122" t="s">
        <v>719</v>
      </c>
      <c r="K41" s="122" t="s">
        <v>639</v>
      </c>
      <c r="L41" s="134">
        <v>0</v>
      </c>
    </row>
    <row r="42" spans="1:12" ht="20" customHeight="1">
      <c r="A42" s="129" t="s">
        <v>724</v>
      </c>
      <c r="B42" s="122" t="s">
        <v>725</v>
      </c>
      <c r="C42" s="129">
        <v>3</v>
      </c>
      <c r="D42" s="129" t="s">
        <v>252</v>
      </c>
      <c r="E42" s="130">
        <v>46289</v>
      </c>
      <c r="F42" s="130">
        <v>46295</v>
      </c>
      <c r="G42" s="131">
        <v>4</v>
      </c>
      <c r="H42" s="132">
        <v>1</v>
      </c>
      <c r="I42" s="122" t="s">
        <v>644</v>
      </c>
      <c r="J42" s="122" t="s">
        <v>715</v>
      </c>
      <c r="K42" s="122" t="s">
        <v>639</v>
      </c>
      <c r="L42" s="134">
        <v>0</v>
      </c>
    </row>
    <row r="43" spans="1:12" ht="20" customHeight="1">
      <c r="A43" s="129" t="s">
        <v>726</v>
      </c>
      <c r="B43" s="122" t="s">
        <v>727</v>
      </c>
      <c r="C43" s="129">
        <v>3</v>
      </c>
      <c r="D43" s="129" t="s">
        <v>252</v>
      </c>
      <c r="E43" s="130">
        <v>46289</v>
      </c>
      <c r="F43" s="130">
        <v>46295</v>
      </c>
      <c r="G43" s="131">
        <v>4</v>
      </c>
      <c r="H43" s="132">
        <v>0.5</v>
      </c>
      <c r="I43" s="122" t="s">
        <v>644</v>
      </c>
      <c r="J43" s="122" t="s">
        <v>715</v>
      </c>
      <c r="K43" s="122" t="s">
        <v>639</v>
      </c>
      <c r="L43" s="134">
        <v>0</v>
      </c>
    </row>
    <row r="44" spans="1:12" ht="20" customHeight="1">
      <c r="A44" s="129" t="s">
        <v>728</v>
      </c>
      <c r="B44" s="122" t="s">
        <v>729</v>
      </c>
      <c r="C44" s="129">
        <v>3</v>
      </c>
      <c r="D44" s="129" t="s">
        <v>259</v>
      </c>
      <c r="E44" s="130">
        <v>46282</v>
      </c>
      <c r="F44" s="130">
        <v>46287</v>
      </c>
      <c r="G44" s="131">
        <v>4</v>
      </c>
      <c r="H44" s="132">
        <v>0.75</v>
      </c>
      <c r="I44" s="122" t="s">
        <v>644</v>
      </c>
      <c r="J44" s="122" t="s">
        <v>715</v>
      </c>
      <c r="K44" s="122" t="s">
        <v>639</v>
      </c>
      <c r="L44" s="135">
        <v>0</v>
      </c>
    </row>
    <row r="45" spans="1:12" ht="20" customHeight="1">
      <c r="A45" s="129" t="s">
        <v>730</v>
      </c>
      <c r="B45" s="122" t="s">
        <v>731</v>
      </c>
      <c r="C45" s="129">
        <v>3</v>
      </c>
      <c r="D45" s="129" t="s">
        <v>259</v>
      </c>
      <c r="E45" s="130">
        <v>46282</v>
      </c>
      <c r="F45" s="130">
        <v>46287</v>
      </c>
      <c r="G45" s="131">
        <v>4</v>
      </c>
      <c r="H45" s="132">
        <v>0.25</v>
      </c>
      <c r="I45" s="122" t="s">
        <v>644</v>
      </c>
      <c r="J45" s="122" t="s">
        <v>715</v>
      </c>
      <c r="K45" s="122" t="s">
        <v>639</v>
      </c>
      <c r="L45" s="134">
        <v>0</v>
      </c>
    </row>
    <row r="46" spans="1:12" ht="20" customHeight="1">
      <c r="A46" s="124" t="s">
        <v>732</v>
      </c>
      <c r="B46" s="125" t="s">
        <v>733</v>
      </c>
      <c r="C46" s="124">
        <v>2</v>
      </c>
      <c r="D46" s="124" t="s">
        <v>638</v>
      </c>
      <c r="E46" s="126">
        <v>46279</v>
      </c>
      <c r="F46" s="126">
        <v>46317</v>
      </c>
      <c r="G46" s="127">
        <v>23</v>
      </c>
      <c r="H46" s="128" t="s"/>
      <c r="I46" s="125" t="s"/>
      <c r="J46" s="125" t="s"/>
      <c r="K46" s="122" t="s">
        <v>639</v>
      </c>
      <c r="L46" s="134">
        <v>0</v>
      </c>
    </row>
    <row r="47" spans="1:12" ht="20" customHeight="1">
      <c r="A47" s="129" t="s">
        <v>734</v>
      </c>
      <c r="B47" s="122" t="s">
        <v>735</v>
      </c>
      <c r="C47" s="129">
        <v>3</v>
      </c>
      <c r="D47" s="129" t="s">
        <v>596</v>
      </c>
      <c r="E47" s="130">
        <v>46279</v>
      </c>
      <c r="F47" s="130">
        <v>46280</v>
      </c>
      <c r="G47" s="131">
        <v>2</v>
      </c>
      <c r="H47" s="132">
        <v>0.25</v>
      </c>
      <c r="I47" s="122" t="s">
        <v>657</v>
      </c>
      <c r="J47" s="122" t="s"/>
      <c r="K47" s="122" t="s">
        <v>639</v>
      </c>
      <c r="L47" s="134">
        <v>0</v>
      </c>
    </row>
    <row r="48" spans="1:12" ht="20" customHeight="1">
      <c r="A48" s="129" t="s">
        <v>736</v>
      </c>
      <c r="B48" s="122" t="s">
        <v>737</v>
      </c>
      <c r="C48" s="129">
        <v>3</v>
      </c>
      <c r="D48" s="129" t="s">
        <v>596</v>
      </c>
      <c r="E48" s="130">
        <v>46307</v>
      </c>
      <c r="F48" s="130">
        <v>46310</v>
      </c>
      <c r="G48" s="131">
        <v>4</v>
      </c>
      <c r="H48" s="132">
        <v>0.5</v>
      </c>
      <c r="I48" s="122" t="s">
        <v>644</v>
      </c>
      <c r="J48" s="122" t="s"/>
      <c r="K48" s="122" t="s">
        <v>639</v>
      </c>
      <c r="L48" s="134">
        <v>0</v>
      </c>
    </row>
    <row r="49" spans="1:12" ht="20" customHeight="1">
      <c r="A49" s="129" t="s">
        <v>738</v>
      </c>
      <c r="B49" s="122" t="s">
        <v>739</v>
      </c>
      <c r="C49" s="129">
        <v>3</v>
      </c>
      <c r="D49" s="129" t="s">
        <v>596</v>
      </c>
      <c r="E49" s="130">
        <v>46307</v>
      </c>
      <c r="F49" s="130">
        <v>46310</v>
      </c>
      <c r="G49" s="131">
        <v>4</v>
      </c>
      <c r="H49" s="132">
        <v>0.75</v>
      </c>
      <c r="I49" s="122" t="s">
        <v>644</v>
      </c>
      <c r="J49" s="122" t="s"/>
      <c r="K49" s="122" t="s">
        <v>639</v>
      </c>
      <c r="L49" s="134">
        <v>0</v>
      </c>
    </row>
    <row r="50" spans="1:12" ht="20" customHeight="1">
      <c r="A50" s="129" t="s">
        <v>740</v>
      </c>
      <c r="B50" s="122" t="s">
        <v>741</v>
      </c>
      <c r="C50" s="129">
        <v>3</v>
      </c>
      <c r="D50" s="129" t="s">
        <v>596</v>
      </c>
      <c r="E50" s="130">
        <v>46307</v>
      </c>
      <c r="F50" s="130">
        <v>46311</v>
      </c>
      <c r="G50" s="131">
        <v>5</v>
      </c>
      <c r="H50" s="132">
        <v>0.5</v>
      </c>
      <c r="I50" s="122" t="s">
        <v>644</v>
      </c>
      <c r="J50" s="122" t="s">
        <v>742</v>
      </c>
      <c r="K50" s="122" t="s">
        <v>639</v>
      </c>
      <c r="L50" s="134">
        <v>0</v>
      </c>
    </row>
    <row r="51" spans="1:12" ht="20" customHeight="1">
      <c r="A51" s="129" t="s">
        <v>743</v>
      </c>
      <c r="B51" s="122" t="s">
        <v>744</v>
      </c>
      <c r="C51" s="129">
        <v>3</v>
      </c>
      <c r="D51" s="129" t="s">
        <v>596</v>
      </c>
      <c r="E51" s="130">
        <v>46314</v>
      </c>
      <c r="F51" s="130">
        <v>46317</v>
      </c>
      <c r="G51" s="131">
        <v>4</v>
      </c>
      <c r="H51" s="132">
        <v>0.5</v>
      </c>
      <c r="I51" s="122" t="s">
        <v>657</v>
      </c>
      <c r="J51" s="122" t="s">
        <v>740</v>
      </c>
      <c r="K51" s="122" t="s">
        <v>639</v>
      </c>
      <c r="L51" s="134">
        <v>0</v>
      </c>
    </row>
    <row r="52" spans="1:12" ht="20" customHeight="1">
      <c r="A52" s="129" t="s">
        <v>745</v>
      </c>
      <c r="B52" s="122" t="s">
        <v>746</v>
      </c>
      <c r="C52" s="129">
        <v>3</v>
      </c>
      <c r="D52" s="129" t="s">
        <v>252</v>
      </c>
      <c r="E52" s="130">
        <v>46289</v>
      </c>
      <c r="F52" s="130">
        <v>46303</v>
      </c>
      <c r="G52" s="131">
        <v>5</v>
      </c>
      <c r="H52" s="132">
        <v>0.5</v>
      </c>
      <c r="I52" s="122" t="s">
        <v>681</v>
      </c>
      <c r="J52" s="122" t="s">
        <v>734</v>
      </c>
      <c r="K52" s="122" t="s">
        <v>639</v>
      </c>
      <c r="L52" s="134">
        <v>0</v>
      </c>
    </row>
    <row r="53" spans="1:12" ht="20" customHeight="1">
      <c r="A53" s="129" t="s">
        <v>747</v>
      </c>
      <c r="B53" s="122" t="s">
        <v>748</v>
      </c>
      <c r="C53" s="129">
        <v>3</v>
      </c>
      <c r="D53" s="129" t="s">
        <v>252</v>
      </c>
      <c r="E53" s="130">
        <v>46289</v>
      </c>
      <c r="F53" s="130">
        <v>46304</v>
      </c>
      <c r="G53" s="131">
        <v>6</v>
      </c>
      <c r="H53" s="132">
        <v>1.25</v>
      </c>
      <c r="I53" s="122" t="s">
        <v>644</v>
      </c>
      <c r="J53" s="122" t="s">
        <v>734</v>
      </c>
      <c r="K53" s="122" t="s">
        <v>639</v>
      </c>
      <c r="L53" s="134">
        <v>0</v>
      </c>
    </row>
    <row r="54" spans="1:12" ht="20" customHeight="1">
      <c r="A54" s="129" t="s">
        <v>749</v>
      </c>
      <c r="B54" s="122" t="s">
        <v>750</v>
      </c>
      <c r="C54" s="129">
        <v>3</v>
      </c>
      <c r="D54" s="129" t="s">
        <v>252</v>
      </c>
      <c r="E54" s="130">
        <v>46289</v>
      </c>
      <c r="F54" s="130">
        <v>46304</v>
      </c>
      <c r="G54" s="131">
        <v>6</v>
      </c>
      <c r="H54" s="132">
        <v>0.5</v>
      </c>
      <c r="I54" s="122" t="s">
        <v>644</v>
      </c>
      <c r="J54" s="122" t="s">
        <v>734</v>
      </c>
      <c r="K54" s="122" t="s">
        <v>639</v>
      </c>
      <c r="L54" s="135">
        <v>0</v>
      </c>
    </row>
    <row r="55" spans="1:12" ht="20" customHeight="1">
      <c r="A55" s="129" t="s">
        <v>751</v>
      </c>
      <c r="B55" s="122" t="s">
        <v>752</v>
      </c>
      <c r="C55" s="129">
        <v>3</v>
      </c>
      <c r="D55" s="129" t="s">
        <v>259</v>
      </c>
      <c r="E55" s="130">
        <v>46282</v>
      </c>
      <c r="F55" s="130">
        <v>46288</v>
      </c>
      <c r="G55" s="131">
        <v>5</v>
      </c>
      <c r="H55" s="132">
        <v>0.5</v>
      </c>
      <c r="I55" s="122" t="s">
        <v>681</v>
      </c>
      <c r="J55" s="122" t="s">
        <v>734</v>
      </c>
      <c r="K55" s="122" t="s">
        <v>639</v>
      </c>
      <c r="L55" s="134">
        <v>0</v>
      </c>
    </row>
    <row r="56" spans="1:12" ht="20" customHeight="1">
      <c r="A56" s="129" t="s">
        <v>753</v>
      </c>
      <c r="B56" s="122" t="s">
        <v>754</v>
      </c>
      <c r="C56" s="129">
        <v>3</v>
      </c>
      <c r="D56" s="129" t="s">
        <v>259</v>
      </c>
      <c r="E56" s="130">
        <v>46282</v>
      </c>
      <c r="F56" s="130">
        <v>46288</v>
      </c>
      <c r="G56" s="131">
        <v>5</v>
      </c>
      <c r="H56" s="132">
        <v>0.5</v>
      </c>
      <c r="I56" s="122" t="s">
        <v>644</v>
      </c>
      <c r="J56" s="122" t="s">
        <v>734</v>
      </c>
      <c r="K56" s="122" t="s">
        <v>639</v>
      </c>
      <c r="L56" s="134">
        <v>0</v>
      </c>
    </row>
    <row r="57" spans="1:12" ht="20" customHeight="1">
      <c r="A57" s="124" t="s">
        <v>755</v>
      </c>
      <c r="B57" s="125" t="s">
        <v>756</v>
      </c>
      <c r="C57" s="124">
        <v>2</v>
      </c>
      <c r="D57" s="124" t="s">
        <v>638</v>
      </c>
      <c r="E57" s="126">
        <v>46279</v>
      </c>
      <c r="F57" s="126">
        <v>46317</v>
      </c>
      <c r="G57" s="127">
        <v>23</v>
      </c>
      <c r="H57" s="128" t="s"/>
      <c r="I57" s="125" t="s"/>
      <c r="J57" s="125" t="s"/>
      <c r="K57" s="122" t="s">
        <v>639</v>
      </c>
      <c r="L57" s="134">
        <v>0</v>
      </c>
    </row>
    <row r="58" spans="1:12" ht="20" customHeight="1">
      <c r="A58" s="129" t="s">
        <v>757</v>
      </c>
      <c r="B58" s="122" t="s">
        <v>758</v>
      </c>
      <c r="C58" s="129">
        <v>3</v>
      </c>
      <c r="D58" s="129" t="s">
        <v>596</v>
      </c>
      <c r="E58" s="130">
        <v>46279</v>
      </c>
      <c r="F58" s="130">
        <v>46280</v>
      </c>
      <c r="G58" s="131">
        <v>2</v>
      </c>
      <c r="H58" s="132">
        <v>0.5</v>
      </c>
      <c r="I58" s="122" t="s">
        <v>657</v>
      </c>
      <c r="J58" s="122" t="s"/>
      <c r="K58" s="122" t="s">
        <v>639</v>
      </c>
      <c r="L58" s="134">
        <v>0</v>
      </c>
    </row>
    <row r="59" spans="1:12" ht="20" customHeight="1">
      <c r="A59" s="129" t="s">
        <v>759</v>
      </c>
      <c r="B59" s="122" t="s">
        <v>760</v>
      </c>
      <c r="C59" s="129">
        <v>3</v>
      </c>
      <c r="D59" s="129" t="s">
        <v>596</v>
      </c>
      <c r="E59" s="130">
        <v>46307</v>
      </c>
      <c r="F59" s="130">
        <v>46311</v>
      </c>
      <c r="G59" s="131">
        <v>5</v>
      </c>
      <c r="H59" s="132">
        <v>0.25</v>
      </c>
      <c r="I59" s="122" t="s">
        <v>644</v>
      </c>
      <c r="J59" s="122" t="s"/>
      <c r="K59" s="122" t="s">
        <v>639</v>
      </c>
      <c r="L59" s="134">
        <v>0</v>
      </c>
    </row>
    <row r="60" spans="1:12" ht="20" customHeight="1">
      <c r="A60" s="129" t="s">
        <v>761</v>
      </c>
      <c r="B60" s="122" t="s">
        <v>762</v>
      </c>
      <c r="C60" s="129">
        <v>3</v>
      </c>
      <c r="D60" s="129" t="s">
        <v>596</v>
      </c>
      <c r="E60" s="130">
        <v>46307</v>
      </c>
      <c r="F60" s="130">
        <v>46314</v>
      </c>
      <c r="G60" s="131">
        <v>6</v>
      </c>
      <c r="H60" s="132">
        <v>0.5</v>
      </c>
      <c r="I60" s="122" t="s">
        <v>644</v>
      </c>
      <c r="J60" s="122" t="s">
        <v>763</v>
      </c>
      <c r="K60" s="122" t="s">
        <v>639</v>
      </c>
      <c r="L60" s="134">
        <v>0</v>
      </c>
    </row>
    <row r="61" spans="1:12" ht="20" customHeight="1">
      <c r="A61" s="129" t="s">
        <v>764</v>
      </c>
      <c r="B61" s="122" t="s">
        <v>765</v>
      </c>
      <c r="C61" s="129">
        <v>3</v>
      </c>
      <c r="D61" s="129" t="s">
        <v>596</v>
      </c>
      <c r="E61" s="130">
        <v>46317</v>
      </c>
      <c r="F61" s="130">
        <v>46317</v>
      </c>
      <c r="G61" s="131">
        <v>1</v>
      </c>
      <c r="H61" s="132">
        <v>0.25</v>
      </c>
      <c r="I61" s="122" t="s">
        <v>657</v>
      </c>
      <c r="J61" s="122" t="s">
        <v>761</v>
      </c>
      <c r="K61" s="122" t="s">
        <v>639</v>
      </c>
      <c r="L61" s="134">
        <v>0</v>
      </c>
    </row>
    <row r="62" spans="1:12" ht="20" customHeight="1">
      <c r="A62" s="129" t="s">
        <v>766</v>
      </c>
      <c r="B62" s="122" t="s">
        <v>767</v>
      </c>
      <c r="C62" s="129">
        <v>3</v>
      </c>
      <c r="D62" s="129" t="s">
        <v>252</v>
      </c>
      <c r="E62" s="130">
        <v>46289</v>
      </c>
      <c r="F62" s="130">
        <v>46307</v>
      </c>
      <c r="G62" s="131">
        <v>7</v>
      </c>
      <c r="H62" s="132">
        <v>0.25</v>
      </c>
      <c r="I62" s="122" t="s">
        <v>644</v>
      </c>
      <c r="J62" s="122" t="s">
        <v>757</v>
      </c>
      <c r="K62" s="122" t="s">
        <v>639</v>
      </c>
      <c r="L62" s="134">
        <v>0</v>
      </c>
    </row>
    <row r="63" spans="1:12" ht="20" customHeight="1">
      <c r="A63" s="129" t="s">
        <v>768</v>
      </c>
      <c r="B63" s="122" t="s">
        <v>769</v>
      </c>
      <c r="C63" s="129">
        <v>3</v>
      </c>
      <c r="D63" s="129" t="s">
        <v>259</v>
      </c>
      <c r="E63" s="130">
        <v>46282</v>
      </c>
      <c r="F63" s="130">
        <v>46289</v>
      </c>
      <c r="G63" s="131">
        <v>6</v>
      </c>
      <c r="H63" s="132">
        <v>0.5</v>
      </c>
      <c r="I63" s="122" t="s">
        <v>644</v>
      </c>
      <c r="J63" s="122" t="s">
        <v>757</v>
      </c>
      <c r="K63" s="122" t="s">
        <v>639</v>
      </c>
      <c r="L63" s="134">
        <v>0</v>
      </c>
    </row>
    <row r="64" spans="1:12" ht="20" customHeight="1">
      <c r="A64" s="129" t="s">
        <v>770</v>
      </c>
      <c r="B64" s="122" t="s">
        <v>771</v>
      </c>
      <c r="C64" s="129">
        <v>3</v>
      </c>
      <c r="D64" s="129" t="s">
        <v>259</v>
      </c>
      <c r="E64" s="130">
        <v>46282</v>
      </c>
      <c r="F64" s="130">
        <v>46289</v>
      </c>
      <c r="G64" s="131">
        <v>6</v>
      </c>
      <c r="H64" s="132">
        <v>0.75</v>
      </c>
      <c r="I64" s="122" t="s">
        <v>644</v>
      </c>
      <c r="J64" s="122" t="s">
        <v>757</v>
      </c>
      <c r="K64" s="122" t="s">
        <v>639</v>
      </c>
      <c r="L64" s="135">
        <v>0</v>
      </c>
    </row>
    <row r="65" spans="1:12" ht="20" customHeight="1">
      <c r="A65" s="124" t="s">
        <v>772</v>
      </c>
      <c r="B65" s="125" t="s">
        <v>773</v>
      </c>
      <c r="C65" s="124">
        <v>2</v>
      </c>
      <c r="D65" s="124" t="s">
        <v>638</v>
      </c>
      <c r="E65" s="126">
        <v>46279</v>
      </c>
      <c r="F65" s="126">
        <v>46328</v>
      </c>
      <c r="G65" s="127">
        <v>30</v>
      </c>
      <c r="H65" s="128" t="s"/>
      <c r="I65" s="125" t="s"/>
      <c r="J65" s="125" t="s"/>
      <c r="K65" s="122" t="s">
        <v>639</v>
      </c>
      <c r="L65" s="134">
        <v>0</v>
      </c>
    </row>
    <row r="66" spans="1:12" ht="20" customHeight="1">
      <c r="A66" s="129" t="s">
        <v>774</v>
      </c>
      <c r="B66" s="122" t="s">
        <v>775</v>
      </c>
      <c r="C66" s="129">
        <v>3</v>
      </c>
      <c r="D66" s="129" t="s">
        <v>596</v>
      </c>
      <c r="E66" s="130">
        <v>46279</v>
      </c>
      <c r="F66" s="130">
        <v>46281</v>
      </c>
      <c r="G66" s="131">
        <v>3</v>
      </c>
      <c r="H66" s="132">
        <v>0.25</v>
      </c>
      <c r="I66" s="122" t="s">
        <v>657</v>
      </c>
      <c r="J66" s="122" t="s"/>
      <c r="K66" s="122" t="s">
        <v>639</v>
      </c>
      <c r="L66" s="134">
        <v>0</v>
      </c>
    </row>
    <row r="67" spans="1:12" ht="20" customHeight="1">
      <c r="A67" s="129" t="s">
        <v>776</v>
      </c>
      <c r="B67" s="122" t="s">
        <v>777</v>
      </c>
      <c r="C67" s="129">
        <v>3</v>
      </c>
      <c r="D67" s="129" t="s">
        <v>596</v>
      </c>
      <c r="E67" s="130">
        <v>46307</v>
      </c>
      <c r="F67" s="130">
        <v>46314</v>
      </c>
      <c r="G67" s="131">
        <v>6</v>
      </c>
      <c r="H67" s="132">
        <v>0.5</v>
      </c>
      <c r="I67" s="122" t="s">
        <v>644</v>
      </c>
      <c r="J67" s="122" t="s"/>
      <c r="K67" s="122" t="s">
        <v>639</v>
      </c>
      <c r="L67" s="134">
        <v>0</v>
      </c>
    </row>
    <row r="68" spans="1:12" ht="20" customHeight="1">
      <c r="A68" s="129" t="s">
        <v>778</v>
      </c>
      <c r="B68" s="122" t="s">
        <v>779</v>
      </c>
      <c r="C68" s="129">
        <v>3</v>
      </c>
      <c r="D68" s="129" t="s">
        <v>596</v>
      </c>
      <c r="E68" s="130">
        <v>46317</v>
      </c>
      <c r="F68" s="130">
        <v>46317</v>
      </c>
      <c r="G68" s="131">
        <v>1</v>
      </c>
      <c r="H68" s="132">
        <v>0.5</v>
      </c>
      <c r="I68" s="122" t="s">
        <v>644</v>
      </c>
      <c r="J68" s="122" t="s">
        <v>780</v>
      </c>
      <c r="K68" s="122" t="s">
        <v>639</v>
      </c>
      <c r="L68" s="134">
        <v>0</v>
      </c>
    </row>
    <row r="69" spans="1:12" ht="20" customHeight="1">
      <c r="A69" s="129" t="s">
        <v>781</v>
      </c>
      <c r="B69" s="122" t="s">
        <v>782</v>
      </c>
      <c r="C69" s="129">
        <v>3</v>
      </c>
      <c r="D69" s="129" t="s">
        <v>596</v>
      </c>
      <c r="E69" s="130">
        <v>46328</v>
      </c>
      <c r="F69" s="130">
        <v>46328</v>
      </c>
      <c r="G69" s="131">
        <v>1</v>
      </c>
      <c r="H69" s="132">
        <v>0.25</v>
      </c>
      <c r="I69" s="122" t="s">
        <v>657</v>
      </c>
      <c r="J69" s="122" t="s">
        <v>778</v>
      </c>
      <c r="K69" s="122" t="s">
        <v>639</v>
      </c>
      <c r="L69" s="134">
        <v>0</v>
      </c>
    </row>
    <row r="70" spans="1:12" ht="20" customHeight="1">
      <c r="A70" s="129" t="s">
        <v>783</v>
      </c>
      <c r="B70" s="122" t="s">
        <v>784</v>
      </c>
      <c r="C70" s="129">
        <v>3</v>
      </c>
      <c r="D70" s="129" t="s">
        <v>252</v>
      </c>
      <c r="E70" s="130">
        <v>46289</v>
      </c>
      <c r="F70" s="130">
        <v>46308</v>
      </c>
      <c r="G70" s="131">
        <v>8</v>
      </c>
      <c r="H70" s="132">
        <v>1</v>
      </c>
      <c r="I70" s="122" t="s">
        <v>644</v>
      </c>
      <c r="J70" s="122" t="s">
        <v>774</v>
      </c>
      <c r="K70" s="122" t="s">
        <v>639</v>
      </c>
      <c r="L70" s="134">
        <v>0</v>
      </c>
    </row>
    <row r="71" spans="1:12" ht="20" customHeight="1">
      <c r="A71" s="129" t="s">
        <v>785</v>
      </c>
      <c r="B71" s="122" t="s">
        <v>786</v>
      </c>
      <c r="C71" s="129">
        <v>3</v>
      </c>
      <c r="D71" s="129" t="s">
        <v>259</v>
      </c>
      <c r="E71" s="130">
        <v>46282</v>
      </c>
      <c r="F71" s="130">
        <v>46293</v>
      </c>
      <c r="G71" s="131">
        <v>7</v>
      </c>
      <c r="H71" s="132">
        <v>0.25</v>
      </c>
      <c r="I71" s="122" t="s">
        <v>644</v>
      </c>
      <c r="J71" s="122" t="s">
        <v>774</v>
      </c>
      <c r="K71" s="122" t="s">
        <v>639</v>
      </c>
      <c r="L71" s="134">
        <v>0</v>
      </c>
    </row>
    <row r="72" spans="1:12" ht="20" customHeight="1">
      <c r="A72" s="129" t="s">
        <v>787</v>
      </c>
      <c r="B72" s="122" t="s">
        <v>788</v>
      </c>
      <c r="C72" s="129">
        <v>3</v>
      </c>
      <c r="D72" s="129" t="s">
        <v>259</v>
      </c>
      <c r="E72" s="130">
        <v>46282</v>
      </c>
      <c r="F72" s="130">
        <v>46293</v>
      </c>
      <c r="G72" s="131">
        <v>7</v>
      </c>
      <c r="H72" s="132">
        <v>0.75</v>
      </c>
      <c r="I72" s="122" t="s">
        <v>644</v>
      </c>
      <c r="J72" s="122" t="s">
        <v>774</v>
      </c>
      <c r="K72" s="122" t="s">
        <v>639</v>
      </c>
      <c r="L72" s="134">
        <v>0</v>
      </c>
    </row>
    <row r="73" spans="1:12" ht="20" customHeight="1">
      <c r="A73" s="124" t="s">
        <v>789</v>
      </c>
      <c r="B73" s="125" t="s">
        <v>790</v>
      </c>
      <c r="C73" s="124">
        <v>2</v>
      </c>
      <c r="D73" s="124" t="s">
        <v>638</v>
      </c>
      <c r="E73" s="126">
        <v>46279</v>
      </c>
      <c r="F73" s="126">
        <v>46329</v>
      </c>
      <c r="G73" s="127">
        <v>31</v>
      </c>
      <c r="H73" s="128" t="s"/>
      <c r="I73" s="125" t="s"/>
      <c r="J73" s="125" t="s"/>
      <c r="K73" s="122" t="s">
        <v>639</v>
      </c>
      <c r="L73" s="134">
        <v>0</v>
      </c>
    </row>
    <row r="74" spans="1:12" ht="20" customHeight="1">
      <c r="A74" s="129" t="s">
        <v>791</v>
      </c>
      <c r="B74" s="122" t="s">
        <v>792</v>
      </c>
      <c r="C74" s="129">
        <v>3</v>
      </c>
      <c r="D74" s="129" t="s">
        <v>596</v>
      </c>
      <c r="E74" s="130">
        <v>46279</v>
      </c>
      <c r="F74" s="130">
        <v>46281</v>
      </c>
      <c r="G74" s="131">
        <v>3</v>
      </c>
      <c r="H74" s="132">
        <v>0.5</v>
      </c>
      <c r="I74" s="122" t="s">
        <v>657</v>
      </c>
      <c r="J74" s="122" t="s"/>
      <c r="K74" s="122" t="s">
        <v>639</v>
      </c>
      <c r="L74" s="135">
        <v>0</v>
      </c>
    </row>
    <row r="75" spans="1:12" ht="20" customHeight="1">
      <c r="A75" s="129" t="s">
        <v>793</v>
      </c>
      <c r="B75" s="122" t="s">
        <v>794</v>
      </c>
      <c r="C75" s="129">
        <v>3</v>
      </c>
      <c r="D75" s="129" t="s">
        <v>596</v>
      </c>
      <c r="E75" s="130">
        <v>46279</v>
      </c>
      <c r="F75" s="130">
        <v>46281</v>
      </c>
      <c r="G75" s="131">
        <v>3</v>
      </c>
      <c r="H75" s="132">
        <v>0.25</v>
      </c>
      <c r="I75" s="122" t="s">
        <v>657</v>
      </c>
      <c r="J75" s="122" t="s"/>
      <c r="K75" s="122" t="s">
        <v>639</v>
      </c>
      <c r="L75" s="134">
        <v>0</v>
      </c>
    </row>
    <row r="76" spans="1:12" ht="20" customHeight="1">
      <c r="A76" s="129" t="s">
        <v>795</v>
      </c>
      <c r="B76" s="122" t="s">
        <v>796</v>
      </c>
      <c r="C76" s="129">
        <v>3</v>
      </c>
      <c r="D76" s="129" t="s">
        <v>596</v>
      </c>
      <c r="E76" s="130">
        <v>46279</v>
      </c>
      <c r="F76" s="130">
        <v>46282</v>
      </c>
      <c r="G76" s="131">
        <v>4</v>
      </c>
      <c r="H76" s="132">
        <v>0.25</v>
      </c>
      <c r="I76" s="122" t="s">
        <v>657</v>
      </c>
      <c r="J76" s="122" t="s"/>
      <c r="K76" s="122" t="s">
        <v>639</v>
      </c>
      <c r="L76" s="134">
        <v>0</v>
      </c>
    </row>
    <row r="77" spans="1:12" ht="20" customHeight="1">
      <c r="A77" s="129" t="s">
        <v>797</v>
      </c>
      <c r="B77" s="122" t="s">
        <v>798</v>
      </c>
      <c r="C77" s="129">
        <v>3</v>
      </c>
      <c r="D77" s="129" t="s">
        <v>596</v>
      </c>
      <c r="E77" s="130">
        <v>46279</v>
      </c>
      <c r="F77" s="130">
        <v>46282</v>
      </c>
      <c r="G77" s="131">
        <v>4</v>
      </c>
      <c r="H77" s="132">
        <v>0.5</v>
      </c>
      <c r="I77" s="122" t="s">
        <v>657</v>
      </c>
      <c r="J77" s="122" t="s"/>
      <c r="K77" s="122" t="s">
        <v>639</v>
      </c>
      <c r="L77" s="134">
        <v>0</v>
      </c>
    </row>
    <row r="78" spans="1:12" ht="20" customHeight="1">
      <c r="A78" s="129" t="s">
        <v>799</v>
      </c>
      <c r="B78" s="122" t="s">
        <v>800</v>
      </c>
      <c r="C78" s="129">
        <v>3</v>
      </c>
      <c r="D78" s="129" t="s">
        <v>596</v>
      </c>
      <c r="E78" s="130">
        <v>46279</v>
      </c>
      <c r="F78" s="130">
        <v>46282</v>
      </c>
      <c r="G78" s="131">
        <v>4</v>
      </c>
      <c r="H78" s="132">
        <v>0.25</v>
      </c>
      <c r="I78" s="122" t="s">
        <v>657</v>
      </c>
      <c r="J78" s="122" t="s"/>
      <c r="K78" s="122" t="s">
        <v>639</v>
      </c>
      <c r="L78" s="134">
        <v>0</v>
      </c>
    </row>
    <row r="79" spans="1:12" ht="20" customHeight="1">
      <c r="A79" s="129" t="s">
        <v>801</v>
      </c>
      <c r="B79" s="122" t="s">
        <v>802</v>
      </c>
      <c r="C79" s="129">
        <v>3</v>
      </c>
      <c r="D79" s="129" t="s">
        <v>596</v>
      </c>
      <c r="E79" s="130">
        <v>46317</v>
      </c>
      <c r="F79" s="130">
        <v>46318</v>
      </c>
      <c r="G79" s="131">
        <v>2</v>
      </c>
      <c r="H79" s="132">
        <v>0.5</v>
      </c>
      <c r="I79" s="122" t="s">
        <v>644</v>
      </c>
      <c r="J79" s="122" t="s"/>
      <c r="K79" s="122" t="s">
        <v>639</v>
      </c>
      <c r="L79" s="134">
        <v>0</v>
      </c>
    </row>
    <row r="80" spans="1:12" ht="20" customHeight="1">
      <c r="A80" s="129" t="s">
        <v>803</v>
      </c>
      <c r="B80" s="122" t="s">
        <v>804</v>
      </c>
      <c r="C80" s="129">
        <v>3</v>
      </c>
      <c r="D80" s="129" t="s">
        <v>596</v>
      </c>
      <c r="E80" s="130">
        <v>46317</v>
      </c>
      <c r="F80" s="130">
        <v>46318</v>
      </c>
      <c r="G80" s="131">
        <v>2</v>
      </c>
      <c r="H80" s="132">
        <v>0.5</v>
      </c>
      <c r="I80" s="122" t="s">
        <v>644</v>
      </c>
      <c r="J80" s="122" t="s"/>
      <c r="K80" s="122" t="s">
        <v>639</v>
      </c>
      <c r="L80" s="134">
        <v>0</v>
      </c>
    </row>
    <row r="81" spans="1:12" ht="20" customHeight="1">
      <c r="A81" s="129" t="s">
        <v>805</v>
      </c>
      <c r="B81" s="122" t="s">
        <v>806</v>
      </c>
      <c r="C81" s="129">
        <v>3</v>
      </c>
      <c r="D81" s="129" t="s">
        <v>596</v>
      </c>
      <c r="E81" s="130">
        <v>46317</v>
      </c>
      <c r="F81" s="130">
        <v>46321</v>
      </c>
      <c r="G81" s="131">
        <v>3</v>
      </c>
      <c r="H81" s="132">
        <v>0.5</v>
      </c>
      <c r="I81" s="122" t="s">
        <v>644</v>
      </c>
      <c r="J81" s="122" t="s"/>
      <c r="K81" s="122" t="s">
        <v>639</v>
      </c>
      <c r="L81" s="134">
        <v>0</v>
      </c>
    </row>
    <row r="82" spans="1:12" ht="20" customHeight="1">
      <c r="A82" s="129" t="s">
        <v>807</v>
      </c>
      <c r="B82" s="122" t="s">
        <v>808</v>
      </c>
      <c r="C82" s="129">
        <v>3</v>
      </c>
      <c r="D82" s="129" t="s">
        <v>596</v>
      </c>
      <c r="E82" s="130">
        <v>46317</v>
      </c>
      <c r="F82" s="130">
        <v>46321</v>
      </c>
      <c r="G82" s="131">
        <v>3</v>
      </c>
      <c r="H82" s="132">
        <v>0.25</v>
      </c>
      <c r="I82" s="122" t="s">
        <v>644</v>
      </c>
      <c r="J82" s="122" t="s"/>
      <c r="K82" s="122" t="s">
        <v>639</v>
      </c>
      <c r="L82" s="134">
        <v>0</v>
      </c>
    </row>
    <row r="83" spans="1:12" ht="20" customHeight="1">
      <c r="A83" s="129" t="s">
        <v>809</v>
      </c>
      <c r="B83" s="122" t="s">
        <v>810</v>
      </c>
      <c r="C83" s="129">
        <v>3</v>
      </c>
      <c r="D83" s="129" t="s">
        <v>596</v>
      </c>
      <c r="E83" s="130">
        <v>46317</v>
      </c>
      <c r="F83" s="130">
        <v>46322</v>
      </c>
      <c r="G83" s="131">
        <v>4</v>
      </c>
      <c r="H83" s="132">
        <v>0.5</v>
      </c>
      <c r="I83" s="122" t="s">
        <v>644</v>
      </c>
      <c r="J83" s="122" t="s"/>
      <c r="K83" s="122" t="s">
        <v>639</v>
      </c>
      <c r="L83" s="134">
        <v>0</v>
      </c>
    </row>
    <row r="84" spans="1:12" ht="20" customHeight="1">
      <c r="A84" s="129" t="s">
        <v>811</v>
      </c>
      <c r="B84" s="122" t="s">
        <v>812</v>
      </c>
      <c r="C84" s="129">
        <v>3</v>
      </c>
      <c r="D84" s="129" t="s">
        <v>596</v>
      </c>
      <c r="E84" s="130">
        <v>46317</v>
      </c>
      <c r="F84" s="130">
        <v>46323</v>
      </c>
      <c r="G84" s="131">
        <v>5</v>
      </c>
      <c r="H84" s="132">
        <v>1</v>
      </c>
      <c r="I84" s="122" t="s">
        <v>644</v>
      </c>
      <c r="J84" s="122" t="s"/>
      <c r="K84" s="122" t="s">
        <v>639</v>
      </c>
      <c r="L84" s="135">
        <v>0</v>
      </c>
    </row>
    <row r="85" spans="1:12" ht="20" customHeight="1">
      <c r="A85" s="129" t="s">
        <v>813</v>
      </c>
      <c r="B85" s="122" t="s">
        <v>814</v>
      </c>
      <c r="C85" s="129">
        <v>3</v>
      </c>
      <c r="D85" s="129" t="s">
        <v>596</v>
      </c>
      <c r="E85" s="130">
        <v>46317</v>
      </c>
      <c r="F85" s="130">
        <v>46323</v>
      </c>
      <c r="G85" s="131">
        <v>5</v>
      </c>
      <c r="H85" s="132">
        <v>0.5</v>
      </c>
      <c r="I85" s="122" t="s">
        <v>644</v>
      </c>
      <c r="J85" s="122" t="s">
        <v>815</v>
      </c>
      <c r="K85" s="122" t="s">
        <v>639</v>
      </c>
      <c r="L85" s="134">
        <v>0</v>
      </c>
    </row>
    <row r="86" spans="1:12" ht="20" customHeight="1">
      <c r="A86" s="129" t="s">
        <v>816</v>
      </c>
      <c r="B86" s="122" t="s">
        <v>817</v>
      </c>
      <c r="C86" s="129">
        <v>3</v>
      </c>
      <c r="D86" s="129" t="s">
        <v>596</v>
      </c>
      <c r="E86" s="130">
        <v>46328</v>
      </c>
      <c r="F86" s="130">
        <v>46329</v>
      </c>
      <c r="G86" s="131">
        <v>2</v>
      </c>
      <c r="H86" s="132">
        <v>1</v>
      </c>
      <c r="I86" s="122" t="s">
        <v>657</v>
      </c>
      <c r="J86" s="122" t="s">
        <v>813</v>
      </c>
      <c r="K86" s="122" t="s">
        <v>639</v>
      </c>
      <c r="L86" s="134">
        <v>0</v>
      </c>
    </row>
    <row r="87" spans="1:12" ht="20" customHeight="1">
      <c r="A87" s="129" t="s">
        <v>818</v>
      </c>
      <c r="B87" s="122" t="s">
        <v>819</v>
      </c>
      <c r="C87" s="129">
        <v>3</v>
      </c>
      <c r="D87" s="129" t="s">
        <v>252</v>
      </c>
      <c r="E87" s="130">
        <v>46289</v>
      </c>
      <c r="F87" s="130">
        <v>46309</v>
      </c>
      <c r="G87" s="131">
        <v>9</v>
      </c>
      <c r="H87" s="132">
        <v>1</v>
      </c>
      <c r="I87" s="122" t="s">
        <v>644</v>
      </c>
      <c r="J87" s="122" t="s">
        <v>799</v>
      </c>
      <c r="K87" s="122" t="s">
        <v>639</v>
      </c>
      <c r="L87" s="134">
        <v>0</v>
      </c>
    </row>
    <row r="88" spans="1:12" ht="20" customHeight="1">
      <c r="A88" s="129" t="s">
        <v>820</v>
      </c>
      <c r="B88" s="122" t="s">
        <v>821</v>
      </c>
      <c r="C88" s="129">
        <v>3</v>
      </c>
      <c r="D88" s="129" t="s">
        <v>252</v>
      </c>
      <c r="E88" s="130">
        <v>46289</v>
      </c>
      <c r="F88" s="130">
        <v>46310</v>
      </c>
      <c r="G88" s="131">
        <v>10</v>
      </c>
      <c r="H88" s="132">
        <v>1.5</v>
      </c>
      <c r="I88" s="122" t="s">
        <v>644</v>
      </c>
      <c r="J88" s="122" t="s">
        <v>799</v>
      </c>
      <c r="K88" s="122" t="s">
        <v>639</v>
      </c>
      <c r="L88" s="134">
        <v>0</v>
      </c>
    </row>
    <row r="89" spans="1:12" ht="20" customHeight="1">
      <c r="A89" s="129" t="s">
        <v>822</v>
      </c>
      <c r="B89" s="122" t="s">
        <v>823</v>
      </c>
      <c r="C89" s="129">
        <v>3</v>
      </c>
      <c r="D89" s="129" t="s">
        <v>252</v>
      </c>
      <c r="E89" s="130">
        <v>46289</v>
      </c>
      <c r="F89" s="130">
        <v>46314</v>
      </c>
      <c r="G89" s="131">
        <v>12</v>
      </c>
      <c r="H89" s="132">
        <v>1.5</v>
      </c>
      <c r="I89" s="122" t="s">
        <v>644</v>
      </c>
      <c r="J89" s="122" t="s">
        <v>799</v>
      </c>
      <c r="K89" s="122" t="s">
        <v>639</v>
      </c>
      <c r="L89" s="134">
        <v>0</v>
      </c>
    </row>
    <row r="90" spans="1:12" ht="20" customHeight="1">
      <c r="A90" s="129" t="s">
        <v>824</v>
      </c>
      <c r="B90" s="122" t="s">
        <v>825</v>
      </c>
      <c r="C90" s="129">
        <v>3</v>
      </c>
      <c r="D90" s="129" t="s">
        <v>252</v>
      </c>
      <c r="E90" s="130">
        <v>46289</v>
      </c>
      <c r="F90" s="130">
        <v>46315</v>
      </c>
      <c r="G90" s="131">
        <v>13</v>
      </c>
      <c r="H90" s="132">
        <v>1</v>
      </c>
      <c r="I90" s="122" t="s">
        <v>644</v>
      </c>
      <c r="J90" s="122" t="s">
        <v>799</v>
      </c>
      <c r="K90" s="122" t="s">
        <v>639</v>
      </c>
      <c r="L90" s="134">
        <v>0</v>
      </c>
    </row>
    <row r="91" spans="1:12" ht="20" customHeight="1">
      <c r="A91" s="129" t="s">
        <v>826</v>
      </c>
      <c r="B91" s="122" t="s">
        <v>827</v>
      </c>
      <c r="C91" s="129">
        <v>3</v>
      </c>
      <c r="D91" s="129" t="s">
        <v>252</v>
      </c>
      <c r="E91" s="130">
        <v>46289</v>
      </c>
      <c r="F91" s="130">
        <v>46315</v>
      </c>
      <c r="G91" s="131">
        <v>13</v>
      </c>
      <c r="H91" s="132">
        <v>0.5</v>
      </c>
      <c r="I91" s="122" t="s">
        <v>681</v>
      </c>
      <c r="J91" s="122" t="s">
        <v>799</v>
      </c>
      <c r="K91" s="122" t="s">
        <v>639</v>
      </c>
      <c r="L91" s="134">
        <v>0</v>
      </c>
    </row>
    <row r="92" spans="1:12" ht="20" customHeight="1">
      <c r="A92" s="129" t="s">
        <v>828</v>
      </c>
      <c r="B92" s="122" t="s">
        <v>829</v>
      </c>
      <c r="C92" s="129">
        <v>3</v>
      </c>
      <c r="D92" s="129" t="s">
        <v>252</v>
      </c>
      <c r="E92" s="130">
        <v>46289</v>
      </c>
      <c r="F92" s="130">
        <v>46317</v>
      </c>
      <c r="G92" s="131">
        <v>15</v>
      </c>
      <c r="H92" s="132">
        <v>1.5</v>
      </c>
      <c r="I92" s="122" t="s">
        <v>681</v>
      </c>
      <c r="J92" s="122" t="s">
        <v>799</v>
      </c>
      <c r="K92" s="122" t="s">
        <v>639</v>
      </c>
      <c r="L92" s="134">
        <v>0</v>
      </c>
    </row>
    <row r="93" spans="1:12" ht="20" customHeight="1">
      <c r="A93" s="129" t="s">
        <v>830</v>
      </c>
      <c r="B93" s="122" t="s">
        <v>831</v>
      </c>
      <c r="C93" s="129">
        <v>3</v>
      </c>
      <c r="D93" s="129" t="s">
        <v>259</v>
      </c>
      <c r="E93" s="130">
        <v>46294</v>
      </c>
      <c r="F93" s="130">
        <v>46294</v>
      </c>
      <c r="G93" s="131">
        <v>1</v>
      </c>
      <c r="H93" s="132">
        <v>0.5</v>
      </c>
      <c r="I93" s="122" t="s">
        <v>644</v>
      </c>
      <c r="J93" s="122" t="s">
        <v>799</v>
      </c>
      <c r="K93" s="122" t="s">
        <v>639</v>
      </c>
      <c r="L93" s="134">
        <v>0</v>
      </c>
    </row>
    <row r="94" spans="1:12" ht="20" customHeight="1">
      <c r="A94" s="129" t="s">
        <v>832</v>
      </c>
      <c r="B94" s="122" t="s">
        <v>833</v>
      </c>
      <c r="C94" s="129">
        <v>3</v>
      </c>
      <c r="D94" s="129" t="s">
        <v>259</v>
      </c>
      <c r="E94" s="130">
        <v>46294</v>
      </c>
      <c r="F94" s="130">
        <v>46295</v>
      </c>
      <c r="G94" s="131">
        <v>2</v>
      </c>
      <c r="H94" s="132">
        <v>1</v>
      </c>
      <c r="I94" s="122" t="s">
        <v>644</v>
      </c>
      <c r="J94" s="122" t="s">
        <v>799</v>
      </c>
      <c r="K94" s="122" t="s">
        <v>639</v>
      </c>
      <c r="L94" s="135">
        <v>0</v>
      </c>
    </row>
    <row r="95" spans="1:12" ht="20" customHeight="1">
      <c r="A95" s="129" t="s">
        <v>834</v>
      </c>
      <c r="B95" s="122" t="s">
        <v>835</v>
      </c>
      <c r="C95" s="129">
        <v>3</v>
      </c>
      <c r="D95" s="129" t="s">
        <v>259</v>
      </c>
      <c r="E95" s="130">
        <v>46294</v>
      </c>
      <c r="F95" s="130">
        <v>46303</v>
      </c>
      <c r="G95" s="131">
        <v>3</v>
      </c>
      <c r="H95" s="132">
        <v>1</v>
      </c>
      <c r="I95" s="122" t="s">
        <v>644</v>
      </c>
      <c r="J95" s="122" t="s">
        <v>799</v>
      </c>
      <c r="K95" s="122" t="s">
        <v>639</v>
      </c>
      <c r="L95" s="134">
        <v>0</v>
      </c>
    </row>
    <row r="96" spans="1:12" ht="20" customHeight="1">
      <c r="A96" s="129" t="s">
        <v>836</v>
      </c>
      <c r="B96" s="122" t="s">
        <v>837</v>
      </c>
      <c r="C96" s="129">
        <v>3</v>
      </c>
      <c r="D96" s="129" t="s">
        <v>259</v>
      </c>
      <c r="E96" s="130">
        <v>46294</v>
      </c>
      <c r="F96" s="130">
        <v>46303</v>
      </c>
      <c r="G96" s="131">
        <v>3</v>
      </c>
      <c r="H96" s="132">
        <v>0.5</v>
      </c>
      <c r="I96" s="122" t="s">
        <v>644</v>
      </c>
      <c r="J96" s="122" t="s">
        <v>799</v>
      </c>
      <c r="K96" s="122" t="s">
        <v>639</v>
      </c>
      <c r="L96" s="134">
        <v>0</v>
      </c>
    </row>
    <row r="97" spans="1:12" ht="20" customHeight="1">
      <c r="A97" s="129" t="s">
        <v>838</v>
      </c>
      <c r="B97" s="122" t="s">
        <v>839</v>
      </c>
      <c r="C97" s="129">
        <v>3</v>
      </c>
      <c r="D97" s="129" t="s">
        <v>259</v>
      </c>
      <c r="E97" s="130">
        <v>46294</v>
      </c>
      <c r="F97" s="130">
        <v>46307</v>
      </c>
      <c r="G97" s="131">
        <v>5</v>
      </c>
      <c r="H97" s="132">
        <v>2</v>
      </c>
      <c r="I97" s="122" t="s">
        <v>644</v>
      </c>
      <c r="J97" s="122" t="s">
        <v>799</v>
      </c>
      <c r="K97" s="122" t="s">
        <v>639</v>
      </c>
      <c r="L97" s="134">
        <v>0</v>
      </c>
    </row>
    <row r="98" spans="1:12" ht="20" customHeight="1">
      <c r="A98" s="129" t="s">
        <v>840</v>
      </c>
      <c r="B98" s="122" t="s">
        <v>841</v>
      </c>
      <c r="C98" s="129">
        <v>3</v>
      </c>
      <c r="D98" s="129" t="s">
        <v>259</v>
      </c>
      <c r="E98" s="130">
        <v>46294</v>
      </c>
      <c r="F98" s="130">
        <v>46310</v>
      </c>
      <c r="G98" s="131">
        <v>8</v>
      </c>
      <c r="H98" s="132">
        <v>2.5</v>
      </c>
      <c r="I98" s="122" t="s">
        <v>681</v>
      </c>
      <c r="J98" s="122" t="s">
        <v>799</v>
      </c>
      <c r="K98" s="122" t="s">
        <v>639</v>
      </c>
      <c r="L98" s="134">
        <v>0</v>
      </c>
    </row>
    <row r="99" spans="1:12" ht="20" customHeight="1">
      <c r="A99" s="129" t="s">
        <v>842</v>
      </c>
      <c r="B99" s="122" t="s">
        <v>843</v>
      </c>
      <c r="C99" s="129">
        <v>3</v>
      </c>
      <c r="D99" s="129" t="s">
        <v>259</v>
      </c>
      <c r="E99" s="130">
        <v>46294</v>
      </c>
      <c r="F99" s="130">
        <v>46310</v>
      </c>
      <c r="G99" s="131">
        <v>8</v>
      </c>
      <c r="H99" s="132">
        <v>0.5</v>
      </c>
      <c r="I99" s="122" t="s">
        <v>681</v>
      </c>
      <c r="J99" s="122" t="s">
        <v>799</v>
      </c>
      <c r="K99" s="122" t="s">
        <v>639</v>
      </c>
      <c r="L99" s="134">
        <v>0</v>
      </c>
    </row>
    <row r="100" spans="1:12" ht="20" customHeight="1">
      <c r="A100" s="124" t="s">
        <v>844</v>
      </c>
      <c r="B100" s="125" t="s">
        <v>845</v>
      </c>
      <c r="C100" s="124">
        <v>2</v>
      </c>
      <c r="D100" s="124" t="s">
        <v>638</v>
      </c>
      <c r="E100" s="126">
        <v>46279</v>
      </c>
      <c r="F100" s="126">
        <v>46331</v>
      </c>
      <c r="G100" s="127">
        <v>33</v>
      </c>
      <c r="H100" s="128" t="s"/>
      <c r="I100" s="125" t="s"/>
      <c r="J100" s="125" t="s"/>
      <c r="K100" s="122" t="s">
        <v>639</v>
      </c>
      <c r="L100" s="134">
        <v>0</v>
      </c>
    </row>
    <row r="101" spans="1:12" ht="20" customHeight="1">
      <c r="A101" s="129" t="s">
        <v>846</v>
      </c>
      <c r="B101" s="122" t="s">
        <v>847</v>
      </c>
      <c r="C101" s="129">
        <v>3</v>
      </c>
      <c r="D101" s="129" t="s">
        <v>596</v>
      </c>
      <c r="E101" s="130">
        <v>46279</v>
      </c>
      <c r="F101" s="130">
        <v>46283</v>
      </c>
      <c r="G101" s="131">
        <v>5</v>
      </c>
      <c r="H101" s="132">
        <v>0.25</v>
      </c>
      <c r="I101" s="122" t="s">
        <v>657</v>
      </c>
      <c r="J101" s="122" t="s"/>
      <c r="K101" s="122" t="s">
        <v>639</v>
      </c>
      <c r="L101" s="134">
        <v>0</v>
      </c>
    </row>
    <row r="102" spans="1:12" ht="20" customHeight="1">
      <c r="A102" s="129" t="s">
        <v>848</v>
      </c>
      <c r="B102" s="122" t="s">
        <v>849</v>
      </c>
      <c r="C102" s="129">
        <v>3</v>
      </c>
      <c r="D102" s="129" t="s">
        <v>596</v>
      </c>
      <c r="E102" s="130">
        <v>46279</v>
      </c>
      <c r="F102" s="130">
        <v>46283</v>
      </c>
      <c r="G102" s="131">
        <v>5</v>
      </c>
      <c r="H102" s="132">
        <v>0.25</v>
      </c>
      <c r="I102" s="122" t="s">
        <v>657</v>
      </c>
      <c r="J102" s="122" t="s"/>
      <c r="K102" s="122" t="s">
        <v>639</v>
      </c>
      <c r="L102" s="134">
        <v>0</v>
      </c>
    </row>
    <row r="103" spans="1:12" ht="20" customHeight="1">
      <c r="A103" s="129" t="s">
        <v>850</v>
      </c>
      <c r="B103" s="122" t="s">
        <v>851</v>
      </c>
      <c r="C103" s="129">
        <v>3</v>
      </c>
      <c r="D103" s="129" t="s">
        <v>596</v>
      </c>
      <c r="E103" s="130">
        <v>46317</v>
      </c>
      <c r="F103" s="130">
        <v>46324</v>
      </c>
      <c r="G103" s="131">
        <v>6</v>
      </c>
      <c r="H103" s="132">
        <v>0.5</v>
      </c>
      <c r="I103" s="122" t="s">
        <v>644</v>
      </c>
      <c r="J103" s="122" t="s"/>
      <c r="K103" s="122" t="s">
        <v>639</v>
      </c>
      <c r="L103" s="134">
        <v>0</v>
      </c>
    </row>
    <row r="104" spans="1:12" ht="20" customHeight="1">
      <c r="A104" s="129" t="s">
        <v>852</v>
      </c>
      <c r="B104" s="122" t="s">
        <v>853</v>
      </c>
      <c r="C104" s="129">
        <v>3</v>
      </c>
      <c r="D104" s="129" t="s">
        <v>596</v>
      </c>
      <c r="E104" s="130">
        <v>46317</v>
      </c>
      <c r="F104" s="130">
        <v>46325</v>
      </c>
      <c r="G104" s="131">
        <v>7</v>
      </c>
      <c r="H104" s="132">
        <v>1</v>
      </c>
      <c r="I104" s="122" t="s">
        <v>644</v>
      </c>
      <c r="J104" s="122" t="s"/>
      <c r="K104" s="122" t="s">
        <v>639</v>
      </c>
      <c r="L104" s="135">
        <v>0</v>
      </c>
    </row>
    <row r="105" spans="1:12" ht="20" customHeight="1">
      <c r="A105" s="129" t="s">
        <v>854</v>
      </c>
      <c r="B105" s="122" t="s">
        <v>855</v>
      </c>
      <c r="C105" s="129">
        <v>3</v>
      </c>
      <c r="D105" s="129" t="s">
        <v>596</v>
      </c>
      <c r="E105" s="130">
        <v>46317</v>
      </c>
      <c r="F105" s="130">
        <v>46325</v>
      </c>
      <c r="G105" s="131">
        <v>7</v>
      </c>
      <c r="H105" s="132">
        <v>0.75</v>
      </c>
      <c r="I105" s="122" t="s">
        <v>644</v>
      </c>
      <c r="J105" s="122" t="s"/>
      <c r="K105" s="122" t="s">
        <v>639</v>
      </c>
      <c r="L105" s="134">
        <v>0</v>
      </c>
    </row>
    <row r="106" spans="1:12" ht="20" customHeight="1">
      <c r="A106" s="129" t="s">
        <v>856</v>
      </c>
      <c r="B106" s="122" t="s">
        <v>857</v>
      </c>
      <c r="C106" s="129">
        <v>3</v>
      </c>
      <c r="D106" s="129" t="s">
        <v>596</v>
      </c>
      <c r="E106" s="130">
        <v>46328</v>
      </c>
      <c r="F106" s="130">
        <v>46329</v>
      </c>
      <c r="G106" s="131">
        <v>2</v>
      </c>
      <c r="H106" s="132">
        <v>0.5</v>
      </c>
      <c r="I106" s="122" t="s">
        <v>644</v>
      </c>
      <c r="J106" s="122" t="s">
        <v>858</v>
      </c>
      <c r="K106" s="122" t="s">
        <v>639</v>
      </c>
      <c r="L106" s="134">
        <v>0</v>
      </c>
    </row>
    <row r="107" spans="1:12" ht="20" customHeight="1">
      <c r="A107" s="129" t="s">
        <v>859</v>
      </c>
      <c r="B107" s="122" t="s">
        <v>860</v>
      </c>
      <c r="C107" s="129">
        <v>3</v>
      </c>
      <c r="D107" s="129" t="s">
        <v>596</v>
      </c>
      <c r="E107" s="130">
        <v>46331</v>
      </c>
      <c r="F107" s="130">
        <v>46331</v>
      </c>
      <c r="G107" s="131">
        <v>1</v>
      </c>
      <c r="H107" s="132">
        <v>0.5</v>
      </c>
      <c r="I107" s="122" t="s">
        <v>657</v>
      </c>
      <c r="J107" s="122" t="s">
        <v>856</v>
      </c>
      <c r="K107" s="122" t="s">
        <v>639</v>
      </c>
      <c r="L107" s="134">
        <v>0</v>
      </c>
    </row>
    <row r="108" spans="1:12" ht="20" customHeight="1">
      <c r="A108" s="129" t="s">
        <v>861</v>
      </c>
      <c r="B108" s="122" t="s">
        <v>862</v>
      </c>
      <c r="C108" s="129">
        <v>3</v>
      </c>
      <c r="D108" s="129" t="s">
        <v>252</v>
      </c>
      <c r="E108" s="130">
        <v>46289</v>
      </c>
      <c r="F108" s="130">
        <v>46321</v>
      </c>
      <c r="G108" s="131">
        <v>17</v>
      </c>
      <c r="H108" s="132">
        <v>2</v>
      </c>
      <c r="I108" s="122" t="s">
        <v>644</v>
      </c>
      <c r="J108" s="122" t="s">
        <v>848</v>
      </c>
      <c r="K108" s="122" t="s">
        <v>639</v>
      </c>
      <c r="L108" s="134">
        <v>0</v>
      </c>
    </row>
    <row r="109" spans="1:12" ht="20" customHeight="1">
      <c r="A109" s="129" t="s">
        <v>863</v>
      </c>
      <c r="B109" s="122" t="s">
        <v>864</v>
      </c>
      <c r="C109" s="129">
        <v>3</v>
      </c>
      <c r="D109" s="129" t="s">
        <v>252</v>
      </c>
      <c r="E109" s="130">
        <v>46289</v>
      </c>
      <c r="F109" s="130">
        <v>46322</v>
      </c>
      <c r="G109" s="131">
        <v>18</v>
      </c>
      <c r="H109" s="132">
        <v>1.5</v>
      </c>
      <c r="I109" s="122" t="s">
        <v>644</v>
      </c>
      <c r="J109" s="122" t="s">
        <v>848</v>
      </c>
      <c r="K109" s="122" t="s">
        <v>639</v>
      </c>
      <c r="L109" s="134">
        <v>0</v>
      </c>
    </row>
    <row r="110" spans="1:12" ht="20" customHeight="1">
      <c r="A110" s="129" t="s">
        <v>865</v>
      </c>
      <c r="B110" s="122" t="s">
        <v>866</v>
      </c>
      <c r="C110" s="129">
        <v>3</v>
      </c>
      <c r="D110" s="129" t="s">
        <v>259</v>
      </c>
      <c r="E110" s="130">
        <v>46294</v>
      </c>
      <c r="F110" s="130">
        <v>46311</v>
      </c>
      <c r="G110" s="131">
        <v>9</v>
      </c>
      <c r="H110" s="132">
        <v>1</v>
      </c>
      <c r="I110" s="122" t="s">
        <v>644</v>
      </c>
      <c r="J110" s="122" t="s">
        <v>848</v>
      </c>
      <c r="K110" s="122" t="s">
        <v>639</v>
      </c>
      <c r="L110" s="134">
        <v>0</v>
      </c>
    </row>
    <row r="111" spans="1:12" ht="20" customHeight="1">
      <c r="A111" s="129" t="s">
        <v>867</v>
      </c>
      <c r="B111" s="122" t="s">
        <v>868</v>
      </c>
      <c r="C111" s="129">
        <v>3</v>
      </c>
      <c r="D111" s="129" t="s">
        <v>259</v>
      </c>
      <c r="E111" s="130">
        <v>46294</v>
      </c>
      <c r="F111" s="130">
        <v>46315</v>
      </c>
      <c r="G111" s="131">
        <v>11</v>
      </c>
      <c r="H111" s="132">
        <v>1.5</v>
      </c>
      <c r="I111" s="122" t="s">
        <v>644</v>
      </c>
      <c r="J111" s="122" t="s">
        <v>848</v>
      </c>
      <c r="K111" s="122" t="s">
        <v>639</v>
      </c>
      <c r="L111" s="134">
        <v>0</v>
      </c>
    </row>
    <row r="112" spans="1:12" ht="20" customHeight="1">
      <c r="A112" s="129" t="s">
        <v>869</v>
      </c>
      <c r="B112" s="122" t="s">
        <v>870</v>
      </c>
      <c r="C112" s="129">
        <v>3</v>
      </c>
      <c r="D112" s="129" t="s">
        <v>259</v>
      </c>
      <c r="E112" s="130">
        <v>46294</v>
      </c>
      <c r="F112" s="130">
        <v>46316</v>
      </c>
      <c r="G112" s="131">
        <v>12</v>
      </c>
      <c r="H112" s="132">
        <v>1.5</v>
      </c>
      <c r="I112" s="122" t="s">
        <v>644</v>
      </c>
      <c r="J112" s="122" t="s">
        <v>848</v>
      </c>
      <c r="K112" s="122" t="s">
        <v>639</v>
      </c>
      <c r="L112" s="134">
        <v>0</v>
      </c>
    </row>
    <row r="113" spans="1:12" ht="20" customHeight="1">
      <c r="A113" s="129" t="s">
        <v>871</v>
      </c>
      <c r="B113" s="122" t="s">
        <v>872</v>
      </c>
      <c r="C113" s="129">
        <v>3</v>
      </c>
      <c r="D113" s="129" t="s">
        <v>259</v>
      </c>
      <c r="E113" s="130">
        <v>46294</v>
      </c>
      <c r="F113" s="130">
        <v>46318</v>
      </c>
      <c r="G113" s="131">
        <v>14</v>
      </c>
      <c r="H113" s="132">
        <v>1.5</v>
      </c>
      <c r="I113" s="122" t="s">
        <v>644</v>
      </c>
      <c r="J113" s="122" t="s">
        <v>848</v>
      </c>
      <c r="K113" s="122" t="s">
        <v>639</v>
      </c>
      <c r="L113" s="134">
        <v>0</v>
      </c>
    </row>
    <row r="114" spans="1:12" ht="20" customHeight="1">
      <c r="A114" s="124" t="s">
        <v>873</v>
      </c>
      <c r="B114" s="125" t="s">
        <v>874</v>
      </c>
      <c r="C114" s="124">
        <v>2</v>
      </c>
      <c r="D114" s="124" t="s">
        <v>638</v>
      </c>
      <c r="E114" s="126">
        <v>46279</v>
      </c>
      <c r="F114" s="126">
        <v>46337</v>
      </c>
      <c r="G114" s="127">
        <v>37</v>
      </c>
      <c r="H114" s="128" t="s"/>
      <c r="I114" s="125" t="s"/>
      <c r="J114" s="125" t="s"/>
      <c r="K114" s="122" t="s">
        <v>639</v>
      </c>
      <c r="L114" s="135">
        <v>0</v>
      </c>
    </row>
    <row r="115" spans="1:12" ht="20" customHeight="1">
      <c r="A115" s="129" t="s">
        <v>875</v>
      </c>
      <c r="B115" s="122" t="s">
        <v>876</v>
      </c>
      <c r="C115" s="129">
        <v>3</v>
      </c>
      <c r="D115" s="129" t="s">
        <v>596</v>
      </c>
      <c r="E115" s="130">
        <v>46279</v>
      </c>
      <c r="F115" s="130">
        <v>46283</v>
      </c>
      <c r="G115" s="131">
        <v>5</v>
      </c>
      <c r="H115" s="132">
        <v>0.5</v>
      </c>
      <c r="I115" s="122" t="s">
        <v>657</v>
      </c>
      <c r="J115" s="122" t="s"/>
      <c r="K115" s="122" t="s">
        <v>639</v>
      </c>
      <c r="L115" s="134">
        <v>0</v>
      </c>
    </row>
    <row r="116" spans="1:12" ht="20" customHeight="1">
      <c r="A116" s="129" t="s">
        <v>877</v>
      </c>
      <c r="B116" s="122" t="s">
        <v>878</v>
      </c>
      <c r="C116" s="129">
        <v>3</v>
      </c>
      <c r="D116" s="129" t="s">
        <v>596</v>
      </c>
      <c r="E116" s="130">
        <v>46279</v>
      </c>
      <c r="F116" s="130">
        <v>46286</v>
      </c>
      <c r="G116" s="131">
        <v>6</v>
      </c>
      <c r="H116" s="132">
        <v>0.5</v>
      </c>
      <c r="I116" s="122" t="s">
        <v>657</v>
      </c>
      <c r="J116" s="122" t="s"/>
      <c r="K116" s="122" t="s">
        <v>639</v>
      </c>
      <c r="L116" s="134">
        <v>0</v>
      </c>
    </row>
    <row r="117" spans="1:12" ht="20" customHeight="1">
      <c r="A117" s="129" t="s">
        <v>879</v>
      </c>
      <c r="B117" s="122" t="s">
        <v>880</v>
      </c>
      <c r="C117" s="129">
        <v>3</v>
      </c>
      <c r="D117" s="129" t="s">
        <v>596</v>
      </c>
      <c r="E117" s="130">
        <v>46328</v>
      </c>
      <c r="F117" s="130">
        <v>46330</v>
      </c>
      <c r="G117" s="131">
        <v>3</v>
      </c>
      <c r="H117" s="132">
        <v>0.5</v>
      </c>
      <c r="I117" s="122" t="s">
        <v>644</v>
      </c>
      <c r="J117" s="122" t="s"/>
      <c r="K117" s="122" t="s">
        <v>639</v>
      </c>
      <c r="L117" s="134">
        <v>0</v>
      </c>
    </row>
    <row r="118" spans="1:12" ht="20" customHeight="1">
      <c r="A118" s="129" t="s">
        <v>881</v>
      </c>
      <c r="B118" s="122" t="s">
        <v>882</v>
      </c>
      <c r="C118" s="129">
        <v>3</v>
      </c>
      <c r="D118" s="129" t="s">
        <v>596</v>
      </c>
      <c r="E118" s="130">
        <v>46328</v>
      </c>
      <c r="F118" s="130">
        <v>46330</v>
      </c>
      <c r="G118" s="131">
        <v>3</v>
      </c>
      <c r="H118" s="132">
        <v>0.75</v>
      </c>
      <c r="I118" s="122" t="s">
        <v>644</v>
      </c>
      <c r="J118" s="122" t="s"/>
      <c r="K118" s="122" t="s">
        <v>639</v>
      </c>
      <c r="L118" s="134">
        <v>0</v>
      </c>
    </row>
    <row r="119" spans="1:12" ht="20" customHeight="1">
      <c r="A119" s="129" t="s">
        <v>883</v>
      </c>
      <c r="B119" s="122" t="s">
        <v>884</v>
      </c>
      <c r="C119" s="129">
        <v>3</v>
      </c>
      <c r="D119" s="129" t="s">
        <v>596</v>
      </c>
      <c r="E119" s="130">
        <v>46331</v>
      </c>
      <c r="F119" s="130">
        <v>46331</v>
      </c>
      <c r="G119" s="131">
        <v>1</v>
      </c>
      <c r="H119" s="132">
        <v>0.5</v>
      </c>
      <c r="I119" s="122" t="s">
        <v>644</v>
      </c>
      <c r="J119" s="122" t="s"/>
      <c r="K119" s="122" t="s">
        <v>639</v>
      </c>
      <c r="L119" s="134">
        <v>0</v>
      </c>
    </row>
    <row r="120" spans="1:12" ht="20" customHeight="1">
      <c r="A120" s="129" t="s">
        <v>885</v>
      </c>
      <c r="B120" s="122" t="s">
        <v>886</v>
      </c>
      <c r="C120" s="129">
        <v>3</v>
      </c>
      <c r="D120" s="129" t="s">
        <v>596</v>
      </c>
      <c r="E120" s="130">
        <v>46331</v>
      </c>
      <c r="F120" s="130">
        <v>46332</v>
      </c>
      <c r="G120" s="131">
        <v>2</v>
      </c>
      <c r="H120" s="132">
        <v>0.5</v>
      </c>
      <c r="I120" s="122" t="s">
        <v>644</v>
      </c>
      <c r="J120" s="122" t="s">
        <v>887</v>
      </c>
      <c r="K120" s="122" t="s">
        <v>639</v>
      </c>
      <c r="L120" s="134">
        <v>0</v>
      </c>
    </row>
    <row r="121" spans="1:12" ht="20" customHeight="1">
      <c r="A121" s="129" t="s">
        <v>888</v>
      </c>
      <c r="B121" s="122" t="s">
        <v>889</v>
      </c>
      <c r="C121" s="129">
        <v>3</v>
      </c>
      <c r="D121" s="129" t="s">
        <v>596</v>
      </c>
      <c r="E121" s="130">
        <v>46337</v>
      </c>
      <c r="F121" s="130">
        <v>46337</v>
      </c>
      <c r="G121" s="131">
        <v>1</v>
      </c>
      <c r="H121" s="132">
        <v>0.5</v>
      </c>
      <c r="I121" s="122" t="s">
        <v>657</v>
      </c>
      <c r="J121" s="122" t="s">
        <v>885</v>
      </c>
      <c r="K121" s="122" t="s">
        <v>639</v>
      </c>
      <c r="L121" s="134">
        <v>0</v>
      </c>
    </row>
    <row r="122" spans="1:12" ht="20" customHeight="1">
      <c r="A122" s="129" t="s">
        <v>890</v>
      </c>
      <c r="B122" s="122" t="s">
        <v>891</v>
      </c>
      <c r="C122" s="129">
        <v>3</v>
      </c>
      <c r="D122" s="129" t="s">
        <v>252</v>
      </c>
      <c r="E122" s="130">
        <v>46322</v>
      </c>
      <c r="F122" s="130">
        <v>46324</v>
      </c>
      <c r="G122" s="131">
        <v>3</v>
      </c>
      <c r="H122" s="132">
        <v>2</v>
      </c>
      <c r="I122" s="122" t="s">
        <v>644</v>
      </c>
      <c r="J122" s="122" t="s">
        <v>877</v>
      </c>
      <c r="K122" s="122" t="s">
        <v>639</v>
      </c>
      <c r="L122" s="134">
        <v>0</v>
      </c>
    </row>
    <row r="123" spans="1:12" ht="20" customHeight="1">
      <c r="A123" s="129" t="s">
        <v>892</v>
      </c>
      <c r="B123" s="122" t="s">
        <v>893</v>
      </c>
      <c r="C123" s="129">
        <v>3</v>
      </c>
      <c r="D123" s="129" t="s">
        <v>252</v>
      </c>
      <c r="E123" s="130">
        <v>46322</v>
      </c>
      <c r="F123" s="130">
        <v>46325</v>
      </c>
      <c r="G123" s="131">
        <v>4</v>
      </c>
      <c r="H123" s="132">
        <v>1</v>
      </c>
      <c r="I123" s="122" t="s">
        <v>644</v>
      </c>
      <c r="J123" s="122" t="s">
        <v>877</v>
      </c>
      <c r="K123" s="122" t="s">
        <v>639</v>
      </c>
      <c r="L123" s="134">
        <v>0</v>
      </c>
    </row>
    <row r="124" spans="1:12" ht="20" customHeight="1">
      <c r="A124" s="129" t="s">
        <v>894</v>
      </c>
      <c r="B124" s="122" t="s">
        <v>895</v>
      </c>
      <c r="C124" s="129">
        <v>3</v>
      </c>
      <c r="D124" s="129" t="s">
        <v>252</v>
      </c>
      <c r="E124" s="130">
        <v>46322</v>
      </c>
      <c r="F124" s="130">
        <v>46328</v>
      </c>
      <c r="G124" s="131">
        <v>5</v>
      </c>
      <c r="H124" s="132">
        <v>0.5</v>
      </c>
      <c r="I124" s="122" t="s">
        <v>644</v>
      </c>
      <c r="J124" s="122" t="s">
        <v>877</v>
      </c>
      <c r="K124" s="122" t="s">
        <v>639</v>
      </c>
      <c r="L124" s="135">
        <v>0</v>
      </c>
    </row>
    <row r="125" spans="1:12" ht="20" customHeight="1">
      <c r="A125" s="129" t="s">
        <v>896</v>
      </c>
      <c r="B125" s="122" t="s">
        <v>897</v>
      </c>
      <c r="C125" s="129">
        <v>3</v>
      </c>
      <c r="D125" s="129" t="s">
        <v>259</v>
      </c>
      <c r="E125" s="130">
        <v>46294</v>
      </c>
      <c r="F125" s="130">
        <v>46318</v>
      </c>
      <c r="G125" s="131">
        <v>14</v>
      </c>
      <c r="H125" s="132">
        <v>0.5</v>
      </c>
      <c r="I125" s="122" t="s">
        <v>644</v>
      </c>
      <c r="J125" s="122" t="s">
        <v>877</v>
      </c>
      <c r="K125" s="122" t="s">
        <v>639</v>
      </c>
      <c r="L125" s="134">
        <v>0</v>
      </c>
    </row>
    <row r="126" spans="1:12" ht="20" customHeight="1">
      <c r="A126" s="129" t="s">
        <v>898</v>
      </c>
      <c r="B126" s="122" t="s">
        <v>899</v>
      </c>
      <c r="C126" s="129">
        <v>3</v>
      </c>
      <c r="D126" s="129" t="s">
        <v>259</v>
      </c>
      <c r="E126" s="130">
        <v>46294</v>
      </c>
      <c r="F126" s="130">
        <v>46322</v>
      </c>
      <c r="G126" s="131">
        <v>16</v>
      </c>
      <c r="H126" s="132">
        <v>1.5</v>
      </c>
      <c r="I126" s="122" t="s">
        <v>644</v>
      </c>
      <c r="J126" s="122" t="s">
        <v>877</v>
      </c>
      <c r="K126" s="122" t="s">
        <v>639</v>
      </c>
      <c r="L126" s="134">
        <v>0</v>
      </c>
    </row>
    <row r="127" spans="1:12" ht="20" customHeight="1">
      <c r="A127" s="129" t="s">
        <v>900</v>
      </c>
      <c r="B127" s="122" t="s">
        <v>901</v>
      </c>
      <c r="C127" s="129">
        <v>3</v>
      </c>
      <c r="D127" s="129" t="s">
        <v>259</v>
      </c>
      <c r="E127" s="130">
        <v>46294</v>
      </c>
      <c r="F127" s="130">
        <v>46323</v>
      </c>
      <c r="G127" s="131">
        <v>17</v>
      </c>
      <c r="H127" s="132">
        <v>1</v>
      </c>
      <c r="I127" s="122" t="s">
        <v>644</v>
      </c>
      <c r="J127" s="122" t="s">
        <v>877</v>
      </c>
      <c r="K127" s="122" t="s">
        <v>639</v>
      </c>
      <c r="L127" s="134">
        <v>0</v>
      </c>
    </row>
    <row r="128" spans="1:12" ht="20" customHeight="1">
      <c r="A128" s="129" t="s">
        <v>902</v>
      </c>
      <c r="B128" s="122" t="s">
        <v>903</v>
      </c>
      <c r="C128" s="129">
        <v>3</v>
      </c>
      <c r="D128" s="129" t="s">
        <v>259</v>
      </c>
      <c r="E128" s="130">
        <v>46294</v>
      </c>
      <c r="F128" s="130">
        <v>46324</v>
      </c>
      <c r="G128" s="131">
        <v>18</v>
      </c>
      <c r="H128" s="132">
        <v>1</v>
      </c>
      <c r="I128" s="122" t="s">
        <v>644</v>
      </c>
      <c r="J128" s="122" t="s">
        <v>877</v>
      </c>
      <c r="K128" s="122" t="s">
        <v>639</v>
      </c>
      <c r="L128" s="134">
        <v>0</v>
      </c>
    </row>
    <row r="129" spans="1:12" ht="20" customHeight="1">
      <c r="A129" s="124" t="s">
        <v>904</v>
      </c>
      <c r="B129" s="125" t="s">
        <v>905</v>
      </c>
      <c r="C129" s="124">
        <v>2</v>
      </c>
      <c r="D129" s="124" t="s">
        <v>638</v>
      </c>
      <c r="E129" s="126">
        <v>46279</v>
      </c>
      <c r="F129" s="126">
        <v>46337</v>
      </c>
      <c r="G129" s="127">
        <v>37</v>
      </c>
      <c r="H129" s="128" t="s"/>
      <c r="I129" s="125" t="s"/>
      <c r="J129" s="125" t="s"/>
      <c r="K129" s="122" t="s">
        <v>639</v>
      </c>
      <c r="L129" s="134">
        <v>0</v>
      </c>
    </row>
    <row r="130" spans="1:12" ht="20" customHeight="1">
      <c r="A130" s="129" t="s">
        <v>906</v>
      </c>
      <c r="B130" s="122" t="s">
        <v>907</v>
      </c>
      <c r="C130" s="129">
        <v>3</v>
      </c>
      <c r="D130" s="129" t="s">
        <v>596</v>
      </c>
      <c r="E130" s="130">
        <v>46279</v>
      </c>
      <c r="F130" s="130">
        <v>46286</v>
      </c>
      <c r="G130" s="131">
        <v>6</v>
      </c>
      <c r="H130" s="132">
        <v>0.5</v>
      </c>
      <c r="I130" s="122" t="s">
        <v>657</v>
      </c>
      <c r="J130" s="122" t="s"/>
      <c r="K130" s="122" t="s">
        <v>639</v>
      </c>
      <c r="L130" s="134">
        <v>0</v>
      </c>
    </row>
    <row r="131" spans="1:12" ht="20" customHeight="1">
      <c r="A131" s="129" t="s">
        <v>908</v>
      </c>
      <c r="B131" s="122" t="s">
        <v>909</v>
      </c>
      <c r="C131" s="129">
        <v>3</v>
      </c>
      <c r="D131" s="129" t="s">
        <v>596</v>
      </c>
      <c r="E131" s="130">
        <v>46331</v>
      </c>
      <c r="F131" s="130">
        <v>46332</v>
      </c>
      <c r="G131" s="131">
        <v>2</v>
      </c>
      <c r="H131" s="132">
        <v>0.25</v>
      </c>
      <c r="I131" s="122" t="s">
        <v>644</v>
      </c>
      <c r="J131" s="122" t="s"/>
      <c r="K131" s="122" t="s">
        <v>639</v>
      </c>
      <c r="L131" s="134">
        <v>0</v>
      </c>
    </row>
    <row r="132" spans="1:12" ht="20" customHeight="1">
      <c r="A132" s="129" t="s">
        <v>910</v>
      </c>
      <c r="B132" s="122" t="s">
        <v>911</v>
      </c>
      <c r="C132" s="129">
        <v>3</v>
      </c>
      <c r="D132" s="129" t="s">
        <v>596</v>
      </c>
      <c r="E132" s="130">
        <v>46331</v>
      </c>
      <c r="F132" s="130">
        <v>46335</v>
      </c>
      <c r="G132" s="131">
        <v>3</v>
      </c>
      <c r="H132" s="132">
        <v>0.5</v>
      </c>
      <c r="I132" s="122" t="s">
        <v>644</v>
      </c>
      <c r="J132" s="122" t="s"/>
      <c r="K132" s="122" t="s">
        <v>639</v>
      </c>
      <c r="L132" s="134">
        <v>0</v>
      </c>
    </row>
    <row r="133" spans="1:12" ht="20" customHeight="1">
      <c r="A133" s="129" t="s">
        <v>912</v>
      </c>
      <c r="B133" s="122" t="s">
        <v>913</v>
      </c>
      <c r="C133" s="129">
        <v>3</v>
      </c>
      <c r="D133" s="129" t="s">
        <v>596</v>
      </c>
      <c r="E133" s="130">
        <v>46331</v>
      </c>
      <c r="F133" s="130">
        <v>46335</v>
      </c>
      <c r="G133" s="131">
        <v>3</v>
      </c>
      <c r="H133" s="132">
        <v>0.25</v>
      </c>
      <c r="I133" s="122" t="s">
        <v>644</v>
      </c>
      <c r="J133" s="122" t="s">
        <v>914</v>
      </c>
      <c r="K133" s="122" t="s">
        <v>639</v>
      </c>
      <c r="L133" s="134">
        <v>0</v>
      </c>
    </row>
    <row r="134" spans="1:12" ht="20" customHeight="1">
      <c r="A134" s="129" t="s">
        <v>915</v>
      </c>
      <c r="B134" s="122" t="s">
        <v>916</v>
      </c>
      <c r="C134" s="129">
        <v>3</v>
      </c>
      <c r="D134" s="129" t="s">
        <v>596</v>
      </c>
      <c r="E134" s="130">
        <v>46337</v>
      </c>
      <c r="F134" s="130">
        <v>46337</v>
      </c>
      <c r="G134" s="131">
        <v>1</v>
      </c>
      <c r="H134" s="132">
        <v>0.5</v>
      </c>
      <c r="I134" s="122" t="s">
        <v>657</v>
      </c>
      <c r="J134" s="122" t="s">
        <v>912</v>
      </c>
      <c r="K134" s="122" t="s">
        <v>639</v>
      </c>
      <c r="L134" s="135">
        <v>0</v>
      </c>
    </row>
    <row r="135" spans="1:12" ht="20" customHeight="1">
      <c r="A135" s="129" t="s">
        <v>917</v>
      </c>
      <c r="B135" s="122" t="s">
        <v>918</v>
      </c>
      <c r="C135" s="129">
        <v>3</v>
      </c>
      <c r="D135" s="129" t="s">
        <v>252</v>
      </c>
      <c r="E135" s="130">
        <v>46322</v>
      </c>
      <c r="F135" s="130">
        <v>46328</v>
      </c>
      <c r="G135" s="131">
        <v>5</v>
      </c>
      <c r="H135" s="132">
        <v>0.5</v>
      </c>
      <c r="I135" s="122" t="s">
        <v>644</v>
      </c>
      <c r="J135" s="122" t="s">
        <v>906</v>
      </c>
      <c r="K135" s="122" t="s">
        <v>639</v>
      </c>
      <c r="L135" s="134">
        <v>0</v>
      </c>
    </row>
    <row r="136" spans="1:12" ht="20" customHeight="1">
      <c r="A136" s="129" t="s">
        <v>919</v>
      </c>
      <c r="B136" s="122" t="s">
        <v>920</v>
      </c>
      <c r="C136" s="129">
        <v>3</v>
      </c>
      <c r="D136" s="129" t="s">
        <v>259</v>
      </c>
      <c r="E136" s="130">
        <v>46294</v>
      </c>
      <c r="F136" s="130">
        <v>46325</v>
      </c>
      <c r="G136" s="131">
        <v>19</v>
      </c>
      <c r="H136" s="132">
        <v>1</v>
      </c>
      <c r="I136" s="122" t="s">
        <v>644</v>
      </c>
      <c r="J136" s="122" t="s">
        <v>906</v>
      </c>
      <c r="K136" s="122" t="s">
        <v>639</v>
      </c>
      <c r="L136" s="134">
        <v>0</v>
      </c>
    </row>
    <row r="137" spans="1:12" ht="20" customHeight="1">
      <c r="A137" s="129" t="s">
        <v>921</v>
      </c>
      <c r="B137" s="122" t="s">
        <v>922</v>
      </c>
      <c r="C137" s="129">
        <v>3</v>
      </c>
      <c r="D137" s="129" t="s">
        <v>259</v>
      </c>
      <c r="E137" s="130">
        <v>46325</v>
      </c>
      <c r="F137" s="130">
        <v>46328</v>
      </c>
      <c r="G137" s="131">
        <v>2</v>
      </c>
      <c r="H137" s="132">
        <v>1.5</v>
      </c>
      <c r="I137" s="122" t="s">
        <v>644</v>
      </c>
      <c r="J137" s="122" t="s">
        <v>906</v>
      </c>
      <c r="K137" s="122" t="s">
        <v>639</v>
      </c>
      <c r="L137" s="134">
        <v>0</v>
      </c>
    </row>
    <row r="138" spans="1:12" ht="20" customHeight="1">
      <c r="A138" s="129" t="s">
        <v>923</v>
      </c>
      <c r="B138" s="122" t="s">
        <v>924</v>
      </c>
      <c r="C138" s="129">
        <v>3</v>
      </c>
      <c r="D138" s="129" t="s">
        <v>259</v>
      </c>
      <c r="E138" s="130">
        <v>46325</v>
      </c>
      <c r="F138" s="130">
        <v>46329</v>
      </c>
      <c r="G138" s="131">
        <v>3</v>
      </c>
      <c r="H138" s="132">
        <v>0.25</v>
      </c>
      <c r="I138" s="122" t="s">
        <v>644</v>
      </c>
      <c r="J138" s="122" t="s">
        <v>906</v>
      </c>
      <c r="K138" s="122" t="s">
        <v>639</v>
      </c>
      <c r="L138" s="134">
        <v>0</v>
      </c>
    </row>
    <row r="139" spans="1:12" ht="20" customHeight="1">
      <c r="A139" s="124" t="s">
        <v>925</v>
      </c>
      <c r="B139" s="125" t="s">
        <v>926</v>
      </c>
      <c r="C139" s="124">
        <v>2</v>
      </c>
      <c r="D139" s="124" t="s">
        <v>638</v>
      </c>
      <c r="E139" s="126">
        <v>46288</v>
      </c>
      <c r="F139" s="126">
        <v>46342</v>
      </c>
      <c r="G139" s="127">
        <v>33</v>
      </c>
      <c r="H139" s="128" t="s"/>
      <c r="I139" s="125" t="s"/>
      <c r="J139" s="125" t="s"/>
      <c r="K139" s="122" t="s">
        <v>639</v>
      </c>
      <c r="L139" s="134">
        <v>0</v>
      </c>
    </row>
    <row r="140" spans="1:12" ht="20" customHeight="1">
      <c r="A140" s="129" t="s">
        <v>927</v>
      </c>
      <c r="B140" s="122" t="s">
        <v>928</v>
      </c>
      <c r="C140" s="129">
        <v>3</v>
      </c>
      <c r="D140" s="129" t="s">
        <v>596</v>
      </c>
      <c r="E140" s="130">
        <v>46288</v>
      </c>
      <c r="F140" s="130">
        <v>46288</v>
      </c>
      <c r="G140" s="131">
        <v>1</v>
      </c>
      <c r="H140" s="132">
        <v>0.25</v>
      </c>
      <c r="I140" s="122" t="s">
        <v>657</v>
      </c>
      <c r="J140" s="122" t="s"/>
      <c r="K140" s="122" t="s">
        <v>639</v>
      </c>
      <c r="L140" s="134">
        <v>0</v>
      </c>
    </row>
    <row r="141" spans="1:12" ht="20" customHeight="1">
      <c r="A141" s="129" t="s">
        <v>929</v>
      </c>
      <c r="B141" s="122" t="s">
        <v>930</v>
      </c>
      <c r="C141" s="129">
        <v>3</v>
      </c>
      <c r="D141" s="129" t="s">
        <v>596</v>
      </c>
      <c r="E141" s="130">
        <v>46331</v>
      </c>
      <c r="F141" s="130">
        <v>46336</v>
      </c>
      <c r="G141" s="131">
        <v>4</v>
      </c>
      <c r="H141" s="132">
        <v>0.75</v>
      </c>
      <c r="I141" s="122" t="s">
        <v>644</v>
      </c>
      <c r="J141" s="122" t="s"/>
      <c r="K141" s="122" t="s">
        <v>639</v>
      </c>
      <c r="L141" s="134">
        <v>0</v>
      </c>
    </row>
    <row r="142" spans="1:12" ht="20" customHeight="1">
      <c r="A142" s="129" t="s">
        <v>931</v>
      </c>
      <c r="B142" s="122" t="s">
        <v>932</v>
      </c>
      <c r="C142" s="129">
        <v>3</v>
      </c>
      <c r="D142" s="129" t="s">
        <v>596</v>
      </c>
      <c r="E142" s="130">
        <v>46337</v>
      </c>
      <c r="F142" s="130">
        <v>46338</v>
      </c>
      <c r="G142" s="131">
        <v>2</v>
      </c>
      <c r="H142" s="132">
        <v>0.5</v>
      </c>
      <c r="I142" s="122" t="s">
        <v>644</v>
      </c>
      <c r="J142" s="122" t="s">
        <v>933</v>
      </c>
      <c r="K142" s="122" t="s">
        <v>639</v>
      </c>
      <c r="L142" s="134">
        <v>0</v>
      </c>
    </row>
    <row r="143" spans="1:12" ht="20" customHeight="1">
      <c r="A143" s="129" t="s">
        <v>934</v>
      </c>
      <c r="B143" s="122" t="s">
        <v>935</v>
      </c>
      <c r="C143" s="129">
        <v>3</v>
      </c>
      <c r="D143" s="129" t="s">
        <v>596</v>
      </c>
      <c r="E143" s="130">
        <v>46339</v>
      </c>
      <c r="F143" s="130">
        <v>46342</v>
      </c>
      <c r="G143" s="131">
        <v>2</v>
      </c>
      <c r="H143" s="132">
        <v>0.5</v>
      </c>
      <c r="I143" s="122" t="s">
        <v>657</v>
      </c>
      <c r="J143" s="122" t="s">
        <v>931</v>
      </c>
      <c r="K143" s="122" t="s">
        <v>639</v>
      </c>
      <c r="L143" s="134">
        <v>0</v>
      </c>
    </row>
    <row r="144" spans="1:12" ht="20" customHeight="1">
      <c r="A144" s="129" t="s">
        <v>936</v>
      </c>
      <c r="B144" s="122" t="s">
        <v>937</v>
      </c>
      <c r="C144" s="129">
        <v>3</v>
      </c>
      <c r="D144" s="129" t="s">
        <v>252</v>
      </c>
      <c r="E144" s="130">
        <v>46322</v>
      </c>
      <c r="F144" s="130">
        <v>46329</v>
      </c>
      <c r="G144" s="131">
        <v>6</v>
      </c>
      <c r="H144" s="132">
        <v>1</v>
      </c>
      <c r="I144" s="122" t="s">
        <v>644</v>
      </c>
      <c r="J144" s="122" t="s">
        <v>927</v>
      </c>
      <c r="K144" s="122" t="s">
        <v>639</v>
      </c>
      <c r="L144" s="135">
        <v>0</v>
      </c>
    </row>
    <row r="145" spans="1:12" ht="20" customHeight="1">
      <c r="A145" s="129" t="s">
        <v>938</v>
      </c>
      <c r="B145" s="122" t="s">
        <v>939</v>
      </c>
      <c r="C145" s="129">
        <v>3</v>
      </c>
      <c r="D145" s="129" t="s">
        <v>259</v>
      </c>
      <c r="E145" s="130">
        <v>46325</v>
      </c>
      <c r="F145" s="130">
        <v>46331</v>
      </c>
      <c r="G145" s="131">
        <v>5</v>
      </c>
      <c r="H145" s="132">
        <v>2</v>
      </c>
      <c r="I145" s="122" t="s">
        <v>644</v>
      </c>
      <c r="J145" s="122" t="s">
        <v>927</v>
      </c>
      <c r="K145" s="122" t="s">
        <v>639</v>
      </c>
      <c r="L145" s="134">
        <v>0</v>
      </c>
    </row>
    <row r="146" spans="1:12" ht="20" customHeight="1">
      <c r="A146" s="129" t="s">
        <v>940</v>
      </c>
      <c r="B146" s="122" t="s">
        <v>941</v>
      </c>
      <c r="C146" s="129">
        <v>3</v>
      </c>
      <c r="D146" s="129" t="s">
        <v>259</v>
      </c>
      <c r="E146" s="130">
        <v>46325</v>
      </c>
      <c r="F146" s="130">
        <v>46331</v>
      </c>
      <c r="G146" s="131">
        <v>5</v>
      </c>
      <c r="H146" s="132">
        <v>0.5</v>
      </c>
      <c r="I146" s="122" t="s">
        <v>644</v>
      </c>
      <c r="J146" s="122" t="s">
        <v>927</v>
      </c>
      <c r="K146" s="122" t="s">
        <v>639</v>
      </c>
      <c r="L146" s="134">
        <v>0</v>
      </c>
    </row>
    <row r="147" spans="1:12" ht="20" customHeight="1">
      <c r="A147" s="124" t="s">
        <v>942</v>
      </c>
      <c r="B147" s="125" t="s">
        <v>943</v>
      </c>
      <c r="C147" s="124">
        <v>2</v>
      </c>
      <c r="D147" s="124" t="s">
        <v>638</v>
      </c>
      <c r="E147" s="126">
        <v>46288</v>
      </c>
      <c r="F147" s="126">
        <v>46342</v>
      </c>
      <c r="G147" s="127">
        <v>33</v>
      </c>
      <c r="H147" s="128" t="s"/>
      <c r="I147" s="125" t="s"/>
      <c r="J147" s="125" t="s"/>
      <c r="K147" s="122" t="s">
        <v>639</v>
      </c>
      <c r="L147" s="134">
        <v>0</v>
      </c>
    </row>
    <row r="148" spans="1:12" ht="20" customHeight="1">
      <c r="A148" s="129" t="s">
        <v>944</v>
      </c>
      <c r="B148" s="122" t="s">
        <v>945</v>
      </c>
      <c r="C148" s="129">
        <v>3</v>
      </c>
      <c r="D148" s="129" t="s">
        <v>596</v>
      </c>
      <c r="E148" s="130">
        <v>46288</v>
      </c>
      <c r="F148" s="130">
        <v>46289</v>
      </c>
      <c r="G148" s="131">
        <v>2</v>
      </c>
      <c r="H148" s="132">
        <v>1.5</v>
      </c>
      <c r="I148" s="122" t="s">
        <v>657</v>
      </c>
      <c r="J148" s="122" t="s"/>
      <c r="K148" s="122" t="s">
        <v>639</v>
      </c>
      <c r="L148" s="134">
        <v>0</v>
      </c>
    </row>
    <row r="149" spans="1:12" ht="20" customHeight="1">
      <c r="A149" s="129" t="s">
        <v>946</v>
      </c>
      <c r="B149" s="122" t="s">
        <v>947</v>
      </c>
      <c r="C149" s="129">
        <v>3</v>
      </c>
      <c r="D149" s="129" t="s">
        <v>596</v>
      </c>
      <c r="E149" s="130">
        <v>46288</v>
      </c>
      <c r="F149" s="130">
        <v>46289</v>
      </c>
      <c r="G149" s="131">
        <v>2</v>
      </c>
      <c r="H149" s="132">
        <v>0.25</v>
      </c>
      <c r="I149" s="122" t="s">
        <v>657</v>
      </c>
      <c r="J149" s="122" t="s"/>
      <c r="K149" s="122" t="s">
        <v>639</v>
      </c>
      <c r="L149" s="134">
        <v>0</v>
      </c>
    </row>
    <row r="150" spans="1:12" ht="20" customHeight="1">
      <c r="A150" s="129" t="s">
        <v>948</v>
      </c>
      <c r="B150" s="122" t="s">
        <v>949</v>
      </c>
      <c r="C150" s="129">
        <v>3</v>
      </c>
      <c r="D150" s="129" t="s">
        <v>596</v>
      </c>
      <c r="E150" s="130">
        <v>46331</v>
      </c>
      <c r="F150" s="130">
        <v>46336</v>
      </c>
      <c r="G150" s="131">
        <v>4</v>
      </c>
      <c r="H150" s="132">
        <v>0.25</v>
      </c>
      <c r="I150" s="122" t="s">
        <v>644</v>
      </c>
      <c r="J150" s="122" t="s"/>
      <c r="K150" s="122" t="s">
        <v>639</v>
      </c>
      <c r="L150" s="134">
        <v>0</v>
      </c>
    </row>
    <row r="151" spans="1:12" ht="20" customHeight="1">
      <c r="A151" s="129" t="s">
        <v>950</v>
      </c>
      <c r="B151" s="122" t="s">
        <v>951</v>
      </c>
      <c r="C151" s="129">
        <v>3</v>
      </c>
      <c r="D151" s="129" t="s">
        <v>596</v>
      </c>
      <c r="E151" s="130">
        <v>46331</v>
      </c>
      <c r="F151" s="130">
        <v>46336</v>
      </c>
      <c r="G151" s="131">
        <v>4</v>
      </c>
      <c r="H151" s="132">
        <v>0.5</v>
      </c>
      <c r="I151" s="122" t="s">
        <v>644</v>
      </c>
      <c r="J151" s="122" t="s"/>
      <c r="K151" s="122" t="s">
        <v>639</v>
      </c>
      <c r="L151" s="134">
        <v>0</v>
      </c>
    </row>
    <row r="152" spans="1:12" ht="20" customHeight="1">
      <c r="A152" s="129" t="s">
        <v>952</v>
      </c>
      <c r="B152" s="122" t="s">
        <v>953</v>
      </c>
      <c r="C152" s="129">
        <v>3</v>
      </c>
      <c r="D152" s="129" t="s">
        <v>596</v>
      </c>
      <c r="E152" s="130">
        <v>46337</v>
      </c>
      <c r="F152" s="130">
        <v>46338</v>
      </c>
      <c r="G152" s="131">
        <v>2</v>
      </c>
      <c r="H152" s="132">
        <v>0.5</v>
      </c>
      <c r="I152" s="122" t="s">
        <v>644</v>
      </c>
      <c r="J152" s="122" t="s">
        <v>954</v>
      </c>
      <c r="K152" s="122" t="s">
        <v>639</v>
      </c>
      <c r="L152" s="134">
        <v>0</v>
      </c>
    </row>
    <row r="153" spans="1:12" ht="20" customHeight="1">
      <c r="A153" s="129" t="s">
        <v>955</v>
      </c>
      <c r="B153" s="122" t="s">
        <v>956</v>
      </c>
      <c r="C153" s="129">
        <v>3</v>
      </c>
      <c r="D153" s="129" t="s">
        <v>596</v>
      </c>
      <c r="E153" s="130">
        <v>46339</v>
      </c>
      <c r="F153" s="130">
        <v>46342</v>
      </c>
      <c r="G153" s="131">
        <v>2</v>
      </c>
      <c r="H153" s="132">
        <v>0.5</v>
      </c>
      <c r="I153" s="122" t="s">
        <v>657</v>
      </c>
      <c r="J153" s="122" t="s">
        <v>952</v>
      </c>
      <c r="K153" s="122" t="s">
        <v>639</v>
      </c>
      <c r="L153" s="134">
        <v>0</v>
      </c>
    </row>
    <row r="154" spans="1:12" ht="20" customHeight="1">
      <c r="A154" s="129" t="s">
        <v>957</v>
      </c>
      <c r="B154" s="122" t="s">
        <v>958</v>
      </c>
      <c r="C154" s="129">
        <v>3</v>
      </c>
      <c r="D154" s="129" t="s">
        <v>252</v>
      </c>
      <c r="E154" s="130">
        <v>46322</v>
      </c>
      <c r="F154" s="130">
        <v>46331</v>
      </c>
      <c r="G154" s="131">
        <v>8</v>
      </c>
      <c r="H154" s="132">
        <v>2</v>
      </c>
      <c r="I154" s="122" t="s">
        <v>644</v>
      </c>
      <c r="J154" s="122" t="s">
        <v>946</v>
      </c>
      <c r="K154" s="122" t="s">
        <v>639</v>
      </c>
      <c r="L154" s="135">
        <v>0</v>
      </c>
    </row>
    <row r="155" spans="1:12" ht="20" customHeight="1">
      <c r="A155" s="129" t="s">
        <v>959</v>
      </c>
      <c r="B155" s="122" t="s">
        <v>960</v>
      </c>
      <c r="C155" s="129">
        <v>3</v>
      </c>
      <c r="D155" s="129" t="s">
        <v>259</v>
      </c>
      <c r="E155" s="130">
        <v>46325</v>
      </c>
      <c r="F155" s="130">
        <v>46332</v>
      </c>
      <c r="G155" s="131">
        <v>6</v>
      </c>
      <c r="H155" s="132">
        <v>0.5</v>
      </c>
      <c r="I155" s="122" t="s">
        <v>644</v>
      </c>
      <c r="J155" s="122" t="s">
        <v>946</v>
      </c>
      <c r="K155" s="122" t="s">
        <v>639</v>
      </c>
      <c r="L155" s="134">
        <v>0</v>
      </c>
    </row>
    <row r="156" spans="1:12" ht="20" customHeight="1">
      <c r="A156" s="129" t="s">
        <v>961</v>
      </c>
      <c r="B156" s="122" t="s">
        <v>962</v>
      </c>
      <c r="C156" s="129">
        <v>3</v>
      </c>
      <c r="D156" s="129" t="s">
        <v>259</v>
      </c>
      <c r="E156" s="130">
        <v>46325</v>
      </c>
      <c r="F156" s="130">
        <v>46336</v>
      </c>
      <c r="G156" s="131">
        <v>8</v>
      </c>
      <c r="H156" s="132">
        <v>2</v>
      </c>
      <c r="I156" s="122" t="s">
        <v>644</v>
      </c>
      <c r="J156" s="122" t="s">
        <v>946</v>
      </c>
      <c r="K156" s="122" t="s">
        <v>639</v>
      </c>
      <c r="L156" s="134">
        <v>0</v>
      </c>
    </row>
    <row r="157" spans="1:12" ht="20" customHeight="1">
      <c r="A157" s="129" t="s">
        <v>963</v>
      </c>
      <c r="B157" s="122" t="s">
        <v>964</v>
      </c>
      <c r="C157" s="129">
        <v>3</v>
      </c>
      <c r="D157" s="129" t="s">
        <v>259</v>
      </c>
      <c r="E157" s="130">
        <v>46325</v>
      </c>
      <c r="F157" s="130">
        <v>46336</v>
      </c>
      <c r="G157" s="131">
        <v>8</v>
      </c>
      <c r="H157" s="132">
        <v>0.5</v>
      </c>
      <c r="I157" s="122" t="s">
        <v>644</v>
      </c>
      <c r="J157" s="122" t="s">
        <v>946</v>
      </c>
      <c r="K157" s="122" t="s">
        <v>639</v>
      </c>
      <c r="L157" s="134">
        <v>0</v>
      </c>
    </row>
    <row r="158" spans="1:12" ht="20" customHeight="1">
      <c r="A158" s="124" t="s">
        <v>965</v>
      </c>
      <c r="B158" s="125" t="s">
        <v>966</v>
      </c>
      <c r="C158" s="124">
        <v>2</v>
      </c>
      <c r="D158" s="124" t="s">
        <v>638</v>
      </c>
      <c r="E158" s="126">
        <v>46288</v>
      </c>
      <c r="F158" s="126">
        <v>46346</v>
      </c>
      <c r="G158" s="127">
        <v>37</v>
      </c>
      <c r="H158" s="128" t="s"/>
      <c r="I158" s="125" t="s"/>
      <c r="J158" s="125" t="s"/>
      <c r="K158" s="122" t="s">
        <v>639</v>
      </c>
      <c r="L158" s="134">
        <v>0</v>
      </c>
    </row>
    <row r="159" spans="1:12" ht="20" customHeight="1">
      <c r="A159" s="129" t="s">
        <v>967</v>
      </c>
      <c r="B159" s="122" t="s">
        <v>968</v>
      </c>
      <c r="C159" s="129">
        <v>3</v>
      </c>
      <c r="D159" s="129" t="s">
        <v>596</v>
      </c>
      <c r="E159" s="130">
        <v>46288</v>
      </c>
      <c r="F159" s="130">
        <v>46293</v>
      </c>
      <c r="G159" s="131">
        <v>3</v>
      </c>
      <c r="H159" s="132">
        <v>0.5</v>
      </c>
      <c r="I159" s="122" t="s">
        <v>657</v>
      </c>
      <c r="J159" s="122" t="s"/>
      <c r="K159" s="122" t="s">
        <v>639</v>
      </c>
      <c r="L159" s="134">
        <v>0</v>
      </c>
    </row>
    <row r="160" spans="1:12" ht="20" customHeight="1">
      <c r="A160" s="129" t="s">
        <v>969</v>
      </c>
      <c r="B160" s="122" t="s">
        <v>970</v>
      </c>
      <c r="C160" s="129">
        <v>3</v>
      </c>
      <c r="D160" s="129" t="s">
        <v>596</v>
      </c>
      <c r="E160" s="130">
        <v>46337</v>
      </c>
      <c r="F160" s="130">
        <v>46339</v>
      </c>
      <c r="G160" s="131">
        <v>3</v>
      </c>
      <c r="H160" s="132">
        <v>0.25</v>
      </c>
      <c r="I160" s="122" t="s">
        <v>644</v>
      </c>
      <c r="J160" s="122" t="s"/>
      <c r="K160" s="122" t="s">
        <v>639</v>
      </c>
      <c r="L160" s="134">
        <v>0</v>
      </c>
    </row>
    <row r="161" spans="1:12" ht="20" customHeight="1">
      <c r="A161" s="129" t="s">
        <v>971</v>
      </c>
      <c r="B161" s="122" t="s">
        <v>972</v>
      </c>
      <c r="C161" s="129">
        <v>3</v>
      </c>
      <c r="D161" s="129" t="s">
        <v>596</v>
      </c>
      <c r="E161" s="130">
        <v>46337</v>
      </c>
      <c r="F161" s="130">
        <v>46339</v>
      </c>
      <c r="G161" s="131">
        <v>3</v>
      </c>
      <c r="H161" s="132">
        <v>0.5</v>
      </c>
      <c r="I161" s="122" t="s">
        <v>644</v>
      </c>
      <c r="J161" s="122" t="s"/>
      <c r="K161" s="122" t="s">
        <v>639</v>
      </c>
      <c r="L161" s="134">
        <v>0</v>
      </c>
    </row>
    <row r="162" spans="1:12" ht="27" customHeight="1">
      <c r="A162" s="129" t="s">
        <v>973</v>
      </c>
      <c r="B162" s="122" t="s">
        <v>974</v>
      </c>
      <c r="C162" s="129">
        <v>3</v>
      </c>
      <c r="D162" s="129" t="s">
        <v>596</v>
      </c>
      <c r="E162" s="130">
        <v>46339</v>
      </c>
      <c r="F162" s="130">
        <v>46343</v>
      </c>
      <c r="G162" s="131">
        <v>3</v>
      </c>
      <c r="H162" s="132">
        <v>0.5</v>
      </c>
      <c r="I162" s="122" t="s">
        <v>644</v>
      </c>
      <c r="J162" s="122" t="s">
        <v>975</v>
      </c>
      <c r="K162" s="122" t="s">
        <v>639</v>
      </c>
      <c r="L162" s="134">
        <v>0</v>
      </c>
    </row>
    <row r="163" spans="1:12" ht="20" customHeight="1">
      <c r="A163" s="129" t="s">
        <v>976</v>
      </c>
      <c r="B163" s="122" t="s">
        <v>977</v>
      </c>
      <c r="C163" s="129">
        <v>3</v>
      </c>
      <c r="D163" s="129" t="s">
        <v>596</v>
      </c>
      <c r="E163" s="130">
        <v>46346</v>
      </c>
      <c r="F163" s="130">
        <v>46346</v>
      </c>
      <c r="G163" s="131">
        <v>1</v>
      </c>
      <c r="H163" s="132">
        <v>0.5</v>
      </c>
      <c r="I163" s="122" t="s">
        <v>657</v>
      </c>
      <c r="J163" s="122" t="s">
        <v>973</v>
      </c>
      <c r="K163" s="122" t="s">
        <v>639</v>
      </c>
      <c r="L163" s="134">
        <v>0</v>
      </c>
    </row>
    <row r="164" spans="1:12" ht="20" customHeight="1">
      <c r="A164" s="129" t="s">
        <v>978</v>
      </c>
      <c r="B164" s="122" t="s">
        <v>979</v>
      </c>
      <c r="C164" s="129">
        <v>3</v>
      </c>
      <c r="D164" s="129" t="s">
        <v>252</v>
      </c>
      <c r="E164" s="130">
        <v>46322</v>
      </c>
      <c r="F164" s="130">
        <v>46332</v>
      </c>
      <c r="G164" s="131">
        <v>9</v>
      </c>
      <c r="H164" s="132">
        <v>1</v>
      </c>
      <c r="I164" s="122" t="s">
        <v>644</v>
      </c>
      <c r="J164" s="122" t="s">
        <v>967</v>
      </c>
      <c r="K164" s="122" t="s">
        <v>639</v>
      </c>
      <c r="L164" s="135">
        <v>0</v>
      </c>
    </row>
    <row r="165" spans="1:12" ht="20" customHeight="1">
      <c r="A165" s="129" t="s">
        <v>980</v>
      </c>
      <c r="B165" s="122" t="s">
        <v>981</v>
      </c>
      <c r="C165" s="129">
        <v>3</v>
      </c>
      <c r="D165" s="129" t="s">
        <v>259</v>
      </c>
      <c r="E165" s="130">
        <v>46325</v>
      </c>
      <c r="F165" s="130">
        <v>46337</v>
      </c>
      <c r="G165" s="131">
        <v>9</v>
      </c>
      <c r="H165" s="132">
        <v>0.75</v>
      </c>
      <c r="I165" s="122" t="s">
        <v>644</v>
      </c>
      <c r="J165" s="122" t="s">
        <v>967</v>
      </c>
      <c r="K165" s="122" t="s">
        <v>639</v>
      </c>
      <c r="L165" s="134">
        <v>0</v>
      </c>
    </row>
    <row r="166" spans="1:12" ht="20" customHeight="1">
      <c r="A166" s="129" t="s">
        <v>982</v>
      </c>
      <c r="B166" s="122" t="s">
        <v>983</v>
      </c>
      <c r="C166" s="129">
        <v>3</v>
      </c>
      <c r="D166" s="129" t="s">
        <v>259</v>
      </c>
      <c r="E166" s="130">
        <v>46325</v>
      </c>
      <c r="F166" s="130">
        <v>46338</v>
      </c>
      <c r="G166" s="131">
        <v>10</v>
      </c>
      <c r="H166" s="132">
        <v>1</v>
      </c>
      <c r="I166" s="122" t="s">
        <v>644</v>
      </c>
      <c r="J166" s="122" t="s">
        <v>967</v>
      </c>
      <c r="K166" s="122" t="s">
        <v>639</v>
      </c>
      <c r="L166" s="134">
        <v>0</v>
      </c>
    </row>
    <row r="167" spans="1:12" ht="20" customHeight="1">
      <c r="A167" s="129" t="s">
        <v>984</v>
      </c>
      <c r="B167" s="122" t="s">
        <v>985</v>
      </c>
      <c r="C167" s="129">
        <v>3</v>
      </c>
      <c r="D167" s="129" t="s">
        <v>259</v>
      </c>
      <c r="E167" s="130">
        <v>46325</v>
      </c>
      <c r="F167" s="130">
        <v>46338</v>
      </c>
      <c r="G167" s="131">
        <v>10</v>
      </c>
      <c r="H167" s="132">
        <v>0.5</v>
      </c>
      <c r="I167" s="122" t="s">
        <v>644</v>
      </c>
      <c r="J167" s="122" t="s">
        <v>967</v>
      </c>
      <c r="K167" s="122" t="s">
        <v>639</v>
      </c>
      <c r="L167" s="134">
        <v>0</v>
      </c>
    </row>
    <row r="168" spans="1:12" ht="20" customHeight="1">
      <c r="A168" s="117" t="s">
        <v>986</v>
      </c>
      <c r="B168" s="118" t="s">
        <v>987</v>
      </c>
      <c r="C168" s="117">
        <v>1</v>
      </c>
      <c r="D168" s="117" t="s">
        <v>638</v>
      </c>
      <c r="E168" s="119">
        <v>46288</v>
      </c>
      <c r="F168" s="119">
        <v>46377</v>
      </c>
      <c r="G168" s="120">
        <v>58</v>
      </c>
      <c r="H168" s="121" t="s"/>
      <c r="I168" s="118" t="s"/>
      <c r="J168" s="118" t="s"/>
      <c r="K168" s="122" t="s">
        <v>639</v>
      </c>
      <c r="L168" s="134">
        <v>0</v>
      </c>
    </row>
    <row r="169" spans="1:12" ht="20" customHeight="1">
      <c r="A169" s="124" t="s">
        <v>988</v>
      </c>
      <c r="B169" s="125" t="s">
        <v>989</v>
      </c>
      <c r="C169" s="124">
        <v>2</v>
      </c>
      <c r="D169" s="124" t="s">
        <v>638</v>
      </c>
      <c r="E169" s="126">
        <v>46288</v>
      </c>
      <c r="F169" s="126">
        <v>46352</v>
      </c>
      <c r="G169" s="127">
        <v>41</v>
      </c>
      <c r="H169" s="128" t="s"/>
      <c r="I169" s="125" t="s"/>
      <c r="J169" s="125" t="s"/>
      <c r="K169" s="122" t="s">
        <v>639</v>
      </c>
      <c r="L169" s="134">
        <v>0</v>
      </c>
    </row>
    <row r="170" spans="1:12" ht="20" customHeight="1">
      <c r="A170" s="129" t="s">
        <v>990</v>
      </c>
      <c r="B170" s="122" t="s">
        <v>991</v>
      </c>
      <c r="C170" s="129">
        <v>3</v>
      </c>
      <c r="D170" s="129" t="s">
        <v>596</v>
      </c>
      <c r="E170" s="130">
        <v>46288</v>
      </c>
      <c r="F170" s="130">
        <v>46294</v>
      </c>
      <c r="G170" s="131">
        <v>4</v>
      </c>
      <c r="H170" s="132">
        <v>0.75</v>
      </c>
      <c r="I170" s="122" t="s">
        <v>657</v>
      </c>
      <c r="J170" s="122" t="s"/>
      <c r="K170" s="122" t="s">
        <v>639</v>
      </c>
      <c r="L170" s="134">
        <v>0</v>
      </c>
    </row>
    <row r="171" spans="1:12" ht="20" customHeight="1">
      <c r="A171" s="129" t="s">
        <v>992</v>
      </c>
      <c r="B171" s="122" t="s">
        <v>993</v>
      </c>
      <c r="C171" s="129">
        <v>3</v>
      </c>
      <c r="D171" s="129" t="s">
        <v>596</v>
      </c>
      <c r="E171" s="130">
        <v>46288</v>
      </c>
      <c r="F171" s="130">
        <v>46294</v>
      </c>
      <c r="G171" s="131">
        <v>4</v>
      </c>
      <c r="H171" s="132">
        <v>0.25</v>
      </c>
      <c r="I171" s="122" t="s">
        <v>657</v>
      </c>
      <c r="J171" s="122" t="s"/>
      <c r="K171" s="122" t="s">
        <v>639</v>
      </c>
      <c r="L171" s="134">
        <v>0</v>
      </c>
    </row>
    <row r="172" spans="1:12" ht="20" customHeight="1">
      <c r="A172" s="129" t="s">
        <v>994</v>
      </c>
      <c r="B172" s="122" t="s">
        <v>995</v>
      </c>
      <c r="C172" s="129">
        <v>3</v>
      </c>
      <c r="D172" s="129" t="s">
        <v>596</v>
      </c>
      <c r="E172" s="130">
        <v>46339</v>
      </c>
      <c r="F172" s="130">
        <v>46345</v>
      </c>
      <c r="G172" s="131">
        <v>5</v>
      </c>
      <c r="H172" s="132">
        <v>0.5</v>
      </c>
      <c r="I172" s="122" t="s">
        <v>644</v>
      </c>
      <c r="J172" s="122" t="s"/>
      <c r="K172" s="122" t="s">
        <v>639</v>
      </c>
      <c r="L172" s="134">
        <v>0</v>
      </c>
    </row>
    <row r="173" spans="1:12" ht="20" customHeight="1">
      <c r="A173" s="129" t="s">
        <v>996</v>
      </c>
      <c r="B173" s="122" t="s">
        <v>997</v>
      </c>
      <c r="C173" s="129">
        <v>3</v>
      </c>
      <c r="D173" s="129" t="s">
        <v>596</v>
      </c>
      <c r="E173" s="130">
        <v>46346</v>
      </c>
      <c r="F173" s="130">
        <v>46349</v>
      </c>
      <c r="G173" s="131">
        <v>2</v>
      </c>
      <c r="H173" s="132">
        <v>1</v>
      </c>
      <c r="I173" s="122" t="s">
        <v>644</v>
      </c>
      <c r="J173" s="122" t="s"/>
      <c r="K173" s="122" t="s">
        <v>639</v>
      </c>
      <c r="L173" s="134">
        <v>0</v>
      </c>
    </row>
    <row r="174" spans="1:12" ht="20" customHeight="1">
      <c r="A174" s="129" t="s">
        <v>998</v>
      </c>
      <c r="B174" s="122" t="s">
        <v>999</v>
      </c>
      <c r="C174" s="129">
        <v>3</v>
      </c>
      <c r="D174" s="129" t="s">
        <v>596</v>
      </c>
      <c r="E174" s="130">
        <v>46346</v>
      </c>
      <c r="F174" s="130">
        <v>46349</v>
      </c>
      <c r="G174" s="131">
        <v>2</v>
      </c>
      <c r="H174" s="132">
        <v>0.5</v>
      </c>
      <c r="I174" s="122" t="s">
        <v>644</v>
      </c>
      <c r="J174" s="122" t="s">
        <v>1000</v>
      </c>
      <c r="K174" s="122" t="s">
        <v>639</v>
      </c>
      <c r="L174" s="135">
        <v>0</v>
      </c>
    </row>
    <row r="175" spans="1:12" ht="20" customHeight="1">
      <c r="A175" s="129" t="s">
        <v>1001</v>
      </c>
      <c r="B175" s="122" t="s">
        <v>1002</v>
      </c>
      <c r="C175" s="129">
        <v>3</v>
      </c>
      <c r="D175" s="129" t="s">
        <v>596</v>
      </c>
      <c r="E175" s="130">
        <v>46351</v>
      </c>
      <c r="F175" s="130">
        <v>46352</v>
      </c>
      <c r="G175" s="131">
        <v>2</v>
      </c>
      <c r="H175" s="132">
        <v>0.5</v>
      </c>
      <c r="I175" s="122" t="s">
        <v>657</v>
      </c>
      <c r="J175" s="122" t="s">
        <v>998</v>
      </c>
      <c r="K175" s="122" t="s">
        <v>639</v>
      </c>
      <c r="L175" s="134">
        <v>0</v>
      </c>
    </row>
    <row r="176" spans="1:12" ht="20" customHeight="1">
      <c r="A176" s="129" t="s">
        <v>1003</v>
      </c>
      <c r="B176" s="122" t="s">
        <v>1004</v>
      </c>
      <c r="C176" s="129">
        <v>3</v>
      </c>
      <c r="D176" s="129" t="s">
        <v>252</v>
      </c>
      <c r="E176" s="130">
        <v>46322</v>
      </c>
      <c r="F176" s="130">
        <v>46335</v>
      </c>
      <c r="G176" s="131">
        <v>10</v>
      </c>
      <c r="H176" s="132">
        <v>1</v>
      </c>
      <c r="I176" s="122" t="s">
        <v>644</v>
      </c>
      <c r="J176" s="122" t="s">
        <v>992</v>
      </c>
      <c r="K176" s="122" t="s">
        <v>639</v>
      </c>
      <c r="L176" s="134">
        <v>0</v>
      </c>
    </row>
    <row r="177" spans="1:12" ht="20" customHeight="1">
      <c r="A177" s="129" t="s">
        <v>1005</v>
      </c>
      <c r="B177" s="122" t="s">
        <v>1006</v>
      </c>
      <c r="C177" s="129">
        <v>3</v>
      </c>
      <c r="D177" s="129" t="s">
        <v>252</v>
      </c>
      <c r="E177" s="130">
        <v>46322</v>
      </c>
      <c r="F177" s="130">
        <v>46337</v>
      </c>
      <c r="G177" s="131">
        <v>12</v>
      </c>
      <c r="H177" s="132">
        <v>1.5</v>
      </c>
      <c r="I177" s="122" t="s">
        <v>644</v>
      </c>
      <c r="J177" s="122" t="s">
        <v>992</v>
      </c>
      <c r="K177" s="122" t="s">
        <v>639</v>
      </c>
      <c r="L177" s="134">
        <v>0</v>
      </c>
    </row>
    <row r="178" spans="1:12" ht="20" customHeight="1">
      <c r="A178" s="129" t="s">
        <v>1007</v>
      </c>
      <c r="B178" s="122" t="s">
        <v>1008</v>
      </c>
      <c r="C178" s="129">
        <v>3</v>
      </c>
      <c r="D178" s="129" t="s">
        <v>259</v>
      </c>
      <c r="E178" s="130">
        <v>46325</v>
      </c>
      <c r="F178" s="130">
        <v>46339</v>
      </c>
      <c r="G178" s="131">
        <v>11</v>
      </c>
      <c r="H178" s="132">
        <v>0.5</v>
      </c>
      <c r="I178" s="122" t="s">
        <v>644</v>
      </c>
      <c r="J178" s="122" t="s">
        <v>992</v>
      </c>
      <c r="K178" s="122" t="s">
        <v>639</v>
      </c>
      <c r="L178" s="134">
        <v>0</v>
      </c>
    </row>
    <row r="179" spans="1:12" ht="20" customHeight="1">
      <c r="A179" s="129" t="s">
        <v>1009</v>
      </c>
      <c r="B179" s="122" t="s">
        <v>1010</v>
      </c>
      <c r="C179" s="129">
        <v>3</v>
      </c>
      <c r="D179" s="129" t="s">
        <v>259</v>
      </c>
      <c r="E179" s="130">
        <v>46325</v>
      </c>
      <c r="F179" s="130">
        <v>46344</v>
      </c>
      <c r="G179" s="131">
        <v>14</v>
      </c>
      <c r="H179" s="132">
        <v>3</v>
      </c>
      <c r="I179" s="122" t="s">
        <v>644</v>
      </c>
      <c r="J179" s="122" t="s">
        <v>992</v>
      </c>
      <c r="K179" s="122" t="s">
        <v>639</v>
      </c>
      <c r="L179" s="134">
        <v>0</v>
      </c>
    </row>
    <row r="180" spans="1:12" ht="20" customHeight="1">
      <c r="A180" s="129" t="s">
        <v>1011</v>
      </c>
      <c r="B180" s="122" t="s">
        <v>1012</v>
      </c>
      <c r="C180" s="129">
        <v>3</v>
      </c>
      <c r="D180" s="129" t="s">
        <v>259</v>
      </c>
      <c r="E180" s="130">
        <v>46325</v>
      </c>
      <c r="F180" s="130">
        <v>46344</v>
      </c>
      <c r="G180" s="131">
        <v>14</v>
      </c>
      <c r="H180" s="132">
        <v>0.5</v>
      </c>
      <c r="I180" s="122" t="s">
        <v>644</v>
      </c>
      <c r="J180" s="122" t="s">
        <v>992</v>
      </c>
      <c r="K180" s="122" t="s">
        <v>639</v>
      </c>
      <c r="L180" s="134">
        <v>0</v>
      </c>
    </row>
    <row r="181" spans="1:12" ht="20" customHeight="1">
      <c r="A181" s="124" t="s">
        <v>1013</v>
      </c>
      <c r="B181" s="125" t="s">
        <v>1014</v>
      </c>
      <c r="C181" s="124">
        <v>2</v>
      </c>
      <c r="D181" s="124" t="s">
        <v>638</v>
      </c>
      <c r="E181" s="126">
        <v>46288</v>
      </c>
      <c r="F181" s="126">
        <v>46353</v>
      </c>
      <c r="G181" s="127">
        <v>42</v>
      </c>
      <c r="H181" s="128" t="s"/>
      <c r="I181" s="125" t="s"/>
      <c r="J181" s="125" t="s"/>
      <c r="K181" s="122" t="s">
        <v>639</v>
      </c>
      <c r="L181" s="134">
        <v>0</v>
      </c>
    </row>
    <row r="182" spans="1:12" ht="20" customHeight="1">
      <c r="A182" s="129" t="s">
        <v>1015</v>
      </c>
      <c r="B182" s="122" t="s">
        <v>1016</v>
      </c>
      <c r="C182" s="129">
        <v>3</v>
      </c>
      <c r="D182" s="129" t="s">
        <v>596</v>
      </c>
      <c r="E182" s="130">
        <v>46288</v>
      </c>
      <c r="F182" s="130">
        <v>46295</v>
      </c>
      <c r="G182" s="131">
        <v>5</v>
      </c>
      <c r="H182" s="132">
        <v>0.75</v>
      </c>
      <c r="I182" s="122" t="s">
        <v>657</v>
      </c>
      <c r="J182" s="122" t="s"/>
      <c r="K182" s="122" t="s">
        <v>639</v>
      </c>
      <c r="L182" s="134">
        <v>0</v>
      </c>
    </row>
    <row r="183" spans="1:12" ht="20" customHeight="1">
      <c r="A183" s="129" t="s">
        <v>1017</v>
      </c>
      <c r="B183" s="122" t="s">
        <v>1018</v>
      </c>
      <c r="C183" s="129">
        <v>3</v>
      </c>
      <c r="D183" s="129" t="s">
        <v>596</v>
      </c>
      <c r="E183" s="130">
        <v>46346</v>
      </c>
      <c r="F183" s="130">
        <v>46350</v>
      </c>
      <c r="G183" s="131">
        <v>3</v>
      </c>
      <c r="H183" s="132">
        <v>0.5</v>
      </c>
      <c r="I183" s="122" t="s">
        <v>644</v>
      </c>
      <c r="J183" s="122" t="s"/>
      <c r="K183" s="122" t="s">
        <v>639</v>
      </c>
      <c r="L183" s="134">
        <v>0</v>
      </c>
    </row>
    <row r="184" spans="1:12" ht="20" customHeight="1">
      <c r="A184" s="129" t="s">
        <v>1019</v>
      </c>
      <c r="B184" s="122" t="s">
        <v>1020</v>
      </c>
      <c r="C184" s="129">
        <v>3</v>
      </c>
      <c r="D184" s="129" t="s">
        <v>596</v>
      </c>
      <c r="E184" s="130">
        <v>46346</v>
      </c>
      <c r="F184" s="130">
        <v>46351</v>
      </c>
      <c r="G184" s="131">
        <v>4</v>
      </c>
      <c r="H184" s="132">
        <v>0.75</v>
      </c>
      <c r="I184" s="122" t="s">
        <v>644</v>
      </c>
      <c r="J184" s="122" t="s"/>
      <c r="K184" s="122" t="s">
        <v>639</v>
      </c>
      <c r="L184" s="135">
        <v>0</v>
      </c>
    </row>
    <row r="185" spans="1:12" ht="20" customHeight="1">
      <c r="A185" s="129" t="s">
        <v>1021</v>
      </c>
      <c r="B185" s="122" t="s">
        <v>1022</v>
      </c>
      <c r="C185" s="129">
        <v>3</v>
      </c>
      <c r="D185" s="129" t="s">
        <v>596</v>
      </c>
      <c r="E185" s="130">
        <v>46351</v>
      </c>
      <c r="F185" s="130">
        <v>46352</v>
      </c>
      <c r="G185" s="131">
        <v>2</v>
      </c>
      <c r="H185" s="132">
        <v>0.25</v>
      </c>
      <c r="I185" s="122" t="s">
        <v>644</v>
      </c>
      <c r="J185" s="122" t="s">
        <v>1023</v>
      </c>
      <c r="K185" s="122" t="s">
        <v>639</v>
      </c>
      <c r="L185" s="134">
        <v>0</v>
      </c>
    </row>
    <row r="186" spans="1:12" ht="20" customHeight="1">
      <c r="A186" s="129" t="s">
        <v>1024</v>
      </c>
      <c r="B186" s="122" t="s">
        <v>1025</v>
      </c>
      <c r="C186" s="129">
        <v>3</v>
      </c>
      <c r="D186" s="129" t="s">
        <v>596</v>
      </c>
      <c r="E186" s="130">
        <v>46353</v>
      </c>
      <c r="F186" s="130">
        <v>46353</v>
      </c>
      <c r="G186" s="131">
        <v>1</v>
      </c>
      <c r="H186" s="132">
        <v>0.5</v>
      </c>
      <c r="I186" s="122" t="s">
        <v>657</v>
      </c>
      <c r="J186" s="122" t="s">
        <v>1021</v>
      </c>
      <c r="K186" s="122" t="s">
        <v>639</v>
      </c>
      <c r="L186" s="134">
        <v>0</v>
      </c>
    </row>
    <row r="187" spans="1:12" ht="20" customHeight="1">
      <c r="A187" s="129" t="s">
        <v>1026</v>
      </c>
      <c r="B187" s="122" t="s">
        <v>1027</v>
      </c>
      <c r="C187" s="129">
        <v>3</v>
      </c>
      <c r="D187" s="129" t="s">
        <v>252</v>
      </c>
      <c r="E187" s="130">
        <v>46322</v>
      </c>
      <c r="F187" s="130">
        <v>46338</v>
      </c>
      <c r="G187" s="131">
        <v>13</v>
      </c>
      <c r="H187" s="132">
        <v>1</v>
      </c>
      <c r="I187" s="122" t="s">
        <v>644</v>
      </c>
      <c r="J187" s="122" t="s">
        <v>1015</v>
      </c>
      <c r="K187" s="122" t="s">
        <v>639</v>
      </c>
      <c r="L187" s="134">
        <v>0</v>
      </c>
    </row>
    <row r="188" spans="1:12" ht="20" customHeight="1">
      <c r="A188" s="129" t="s">
        <v>1028</v>
      </c>
      <c r="B188" s="122" t="s">
        <v>1029</v>
      </c>
      <c r="C188" s="129">
        <v>3</v>
      </c>
      <c r="D188" s="129" t="s">
        <v>252</v>
      </c>
      <c r="E188" s="130">
        <v>46322</v>
      </c>
      <c r="F188" s="130">
        <v>46338</v>
      </c>
      <c r="G188" s="131">
        <v>13</v>
      </c>
      <c r="H188" s="132">
        <v>0.5</v>
      </c>
      <c r="I188" s="122" t="s">
        <v>644</v>
      </c>
      <c r="J188" s="122" t="s">
        <v>1015</v>
      </c>
      <c r="K188" s="122" t="s">
        <v>639</v>
      </c>
      <c r="L188" s="134">
        <v>0</v>
      </c>
    </row>
    <row r="189" spans="1:12" ht="20" customHeight="1">
      <c r="A189" s="129" t="s">
        <v>1030</v>
      </c>
      <c r="B189" s="122" t="s">
        <v>1031</v>
      </c>
      <c r="C189" s="129">
        <v>3</v>
      </c>
      <c r="D189" s="129" t="s">
        <v>259</v>
      </c>
      <c r="E189" s="130">
        <v>46325</v>
      </c>
      <c r="F189" s="130">
        <v>46345</v>
      </c>
      <c r="G189" s="131">
        <v>15</v>
      </c>
      <c r="H189" s="132">
        <v>0.25</v>
      </c>
      <c r="I189" s="122" t="s">
        <v>644</v>
      </c>
      <c r="J189" s="122" t="s">
        <v>1015</v>
      </c>
      <c r="K189" s="122" t="s">
        <v>639</v>
      </c>
      <c r="L189" s="134">
        <v>0</v>
      </c>
    </row>
    <row r="190" spans="1:12" ht="20" customHeight="1">
      <c r="A190" s="129" t="s">
        <v>1032</v>
      </c>
      <c r="B190" s="122" t="s">
        <v>1033</v>
      </c>
      <c r="C190" s="129">
        <v>3</v>
      </c>
      <c r="D190" s="129" t="s">
        <v>259</v>
      </c>
      <c r="E190" s="130">
        <v>46345</v>
      </c>
      <c r="F190" s="130">
        <v>46350</v>
      </c>
      <c r="G190" s="131">
        <v>4</v>
      </c>
      <c r="H190" s="132">
        <v>1.5</v>
      </c>
      <c r="I190" s="122" t="s">
        <v>644</v>
      </c>
      <c r="J190" s="122" t="s">
        <v>1015</v>
      </c>
      <c r="K190" s="122" t="s">
        <v>639</v>
      </c>
      <c r="L190" s="134">
        <v>0</v>
      </c>
    </row>
    <row r="191" spans="1:12" ht="20" customHeight="1">
      <c r="A191" s="129" t="s">
        <v>1034</v>
      </c>
      <c r="B191" s="122" t="s">
        <v>1035</v>
      </c>
      <c r="C191" s="129">
        <v>3</v>
      </c>
      <c r="D191" s="129" t="s">
        <v>259</v>
      </c>
      <c r="E191" s="130">
        <v>46345</v>
      </c>
      <c r="F191" s="130">
        <v>46350</v>
      </c>
      <c r="G191" s="131">
        <v>4</v>
      </c>
      <c r="H191" s="132">
        <v>0.25</v>
      </c>
      <c r="I191" s="122" t="s">
        <v>644</v>
      </c>
      <c r="J191" s="122" t="s">
        <v>1015</v>
      </c>
      <c r="K191" s="122" t="s">
        <v>639</v>
      </c>
      <c r="L191" s="134">
        <v>0</v>
      </c>
    </row>
    <row r="192" spans="1:12" ht="20" customHeight="1">
      <c r="A192" s="124" t="s">
        <v>1036</v>
      </c>
      <c r="B192" s="125" t="s">
        <v>1037</v>
      </c>
      <c r="C192" s="124">
        <v>2</v>
      </c>
      <c r="D192" s="124" t="s">
        <v>1038</v>
      </c>
      <c r="E192" s="126">
        <v>46288</v>
      </c>
      <c r="F192" s="126">
        <v>46360</v>
      </c>
      <c r="G192" s="127">
        <v>47</v>
      </c>
      <c r="H192" s="128" t="s"/>
      <c r="I192" s="125" t="s"/>
      <c r="J192" s="125" t="s"/>
      <c r="K192" s="122" t="s">
        <v>639</v>
      </c>
      <c r="L192" s="134">
        <v>0</v>
      </c>
    </row>
    <row r="193" spans="1:12" ht="20" customHeight="1">
      <c r="A193" s="129" t="s">
        <v>1039</v>
      </c>
      <c r="B193" s="122" t="s">
        <v>1040</v>
      </c>
      <c r="C193" s="129">
        <v>3</v>
      </c>
      <c r="D193" s="129" t="s">
        <v>596</v>
      </c>
      <c r="E193" s="130">
        <v>46288</v>
      </c>
      <c r="F193" s="130">
        <v>46295</v>
      </c>
      <c r="G193" s="131">
        <v>5</v>
      </c>
      <c r="H193" s="132">
        <v>0.5</v>
      </c>
      <c r="I193" s="122" t="s">
        <v>657</v>
      </c>
      <c r="J193" s="122" t="s"/>
      <c r="K193" s="122" t="s">
        <v>639</v>
      </c>
      <c r="L193" s="134">
        <v>0</v>
      </c>
    </row>
    <row r="194" spans="1:12" ht="20" customHeight="1">
      <c r="A194" s="129" t="s">
        <v>1041</v>
      </c>
      <c r="B194" s="122" t="s">
        <v>1042</v>
      </c>
      <c r="C194" s="129">
        <v>3</v>
      </c>
      <c r="D194" s="129" t="s">
        <v>596</v>
      </c>
      <c r="E194" s="130">
        <v>46346</v>
      </c>
      <c r="F194" s="130">
        <v>46351</v>
      </c>
      <c r="G194" s="131">
        <v>4</v>
      </c>
      <c r="H194" s="132">
        <v>0.25</v>
      </c>
      <c r="I194" s="122" t="s">
        <v>644</v>
      </c>
      <c r="J194" s="122" t="s"/>
      <c r="K194" s="122" t="s">
        <v>639</v>
      </c>
      <c r="L194" s="135">
        <v>0</v>
      </c>
    </row>
    <row r="195" spans="1:12" ht="20" customHeight="1">
      <c r="A195" s="129" t="s">
        <v>1043</v>
      </c>
      <c r="B195" s="122" t="s">
        <v>1044</v>
      </c>
      <c r="C195" s="129">
        <v>3</v>
      </c>
      <c r="D195" s="129" t="s">
        <v>596</v>
      </c>
      <c r="E195" s="130">
        <v>46351</v>
      </c>
      <c r="F195" s="130">
        <v>46352</v>
      </c>
      <c r="G195" s="131">
        <v>2</v>
      </c>
      <c r="H195" s="132">
        <v>0.5</v>
      </c>
      <c r="I195" s="122" t="s">
        <v>644</v>
      </c>
      <c r="J195" s="122" t="s"/>
      <c r="K195" s="122" t="s">
        <v>639</v>
      </c>
      <c r="L195" s="134">
        <v>0</v>
      </c>
    </row>
    <row r="196" spans="1:12" ht="20" customHeight="1">
      <c r="A196" s="129" t="s">
        <v>1045</v>
      </c>
      <c r="B196" s="122" t="s">
        <v>1046</v>
      </c>
      <c r="C196" s="129">
        <v>3</v>
      </c>
      <c r="D196" s="129" t="s">
        <v>596</v>
      </c>
      <c r="E196" s="130">
        <v>46358</v>
      </c>
      <c r="F196" s="130">
        <v>46358</v>
      </c>
      <c r="G196" s="131">
        <v>1</v>
      </c>
      <c r="H196" s="132">
        <v>0.75</v>
      </c>
      <c r="I196" s="122" t="s">
        <v>644</v>
      </c>
      <c r="J196" s="122" t="s">
        <v>1047</v>
      </c>
      <c r="K196" s="122" t="s">
        <v>639</v>
      </c>
      <c r="L196" s="134">
        <v>0</v>
      </c>
    </row>
    <row r="197" spans="1:12" ht="20" customHeight="1">
      <c r="A197" s="129" t="s">
        <v>1048</v>
      </c>
      <c r="B197" s="122" t="s">
        <v>1049</v>
      </c>
      <c r="C197" s="129">
        <v>3</v>
      </c>
      <c r="D197" s="129" t="s">
        <v>596</v>
      </c>
      <c r="E197" s="130">
        <v>46359</v>
      </c>
      <c r="F197" s="130">
        <v>46360</v>
      </c>
      <c r="G197" s="131">
        <v>2</v>
      </c>
      <c r="H197" s="132">
        <v>0.5</v>
      </c>
      <c r="I197" s="122" t="s">
        <v>657</v>
      </c>
      <c r="J197" s="122" t="s">
        <v>1045</v>
      </c>
      <c r="K197" s="122" t="s">
        <v>639</v>
      </c>
      <c r="L197" s="134">
        <v>0</v>
      </c>
    </row>
    <row r="198" spans="1:12" ht="20" customHeight="1">
      <c r="A198" s="129" t="s">
        <v>1050</v>
      </c>
      <c r="B198" s="122" t="s">
        <v>1051</v>
      </c>
      <c r="C198" s="129">
        <v>3</v>
      </c>
      <c r="D198" s="129" t="s">
        <v>259</v>
      </c>
      <c r="E198" s="130">
        <v>46345</v>
      </c>
      <c r="F198" s="130">
        <v>46351</v>
      </c>
      <c r="G198" s="131">
        <v>5</v>
      </c>
      <c r="H198" s="132">
        <v>0.75</v>
      </c>
      <c r="I198" s="122" t="s">
        <v>644</v>
      </c>
      <c r="J198" s="122" t="s">
        <v>1039</v>
      </c>
      <c r="K198" s="122" t="s">
        <v>639</v>
      </c>
      <c r="L198" s="134">
        <v>0</v>
      </c>
    </row>
    <row r="199" spans="1:12" ht="20" customHeight="1">
      <c r="A199" s="129" t="s">
        <v>1052</v>
      </c>
      <c r="B199" s="122" t="s">
        <v>1053</v>
      </c>
      <c r="C199" s="129">
        <v>3</v>
      </c>
      <c r="D199" s="129" t="s">
        <v>259</v>
      </c>
      <c r="E199" s="130">
        <v>46345</v>
      </c>
      <c r="F199" s="130">
        <v>46351</v>
      </c>
      <c r="G199" s="131">
        <v>5</v>
      </c>
      <c r="H199" s="132">
        <v>0.5</v>
      </c>
      <c r="I199" s="122" t="s">
        <v>681</v>
      </c>
      <c r="J199" s="122" t="s">
        <v>1039</v>
      </c>
      <c r="K199" s="122" t="s">
        <v>639</v>
      </c>
      <c r="L199" s="134">
        <v>0</v>
      </c>
    </row>
    <row r="200" spans="1:12" ht="20" customHeight="1">
      <c r="A200" s="129" t="s">
        <v>1054</v>
      </c>
      <c r="B200" s="122" t="s">
        <v>1055</v>
      </c>
      <c r="C200" s="129">
        <v>3</v>
      </c>
      <c r="D200" s="129" t="s">
        <v>259</v>
      </c>
      <c r="E200" s="130">
        <v>46345</v>
      </c>
      <c r="F200" s="130">
        <v>46353</v>
      </c>
      <c r="G200" s="131">
        <v>7</v>
      </c>
      <c r="H200" s="132">
        <v>1.5</v>
      </c>
      <c r="I200" s="122" t="s">
        <v>644</v>
      </c>
      <c r="J200" s="122" t="s">
        <v>1039</v>
      </c>
      <c r="K200" s="122" t="s">
        <v>639</v>
      </c>
      <c r="L200" s="134">
        <v>0</v>
      </c>
    </row>
    <row r="201" spans="1:12" ht="20" customHeight="1">
      <c r="A201" s="124" t="s">
        <v>1056</v>
      </c>
      <c r="B201" s="125" t="s">
        <v>1057</v>
      </c>
      <c r="C201" s="124">
        <v>2</v>
      </c>
      <c r="D201" s="124" t="s">
        <v>638</v>
      </c>
      <c r="E201" s="126">
        <v>46288</v>
      </c>
      <c r="F201" s="126">
        <v>46360</v>
      </c>
      <c r="G201" s="127">
        <v>47</v>
      </c>
      <c r="H201" s="128" t="s"/>
      <c r="I201" s="125" t="s"/>
      <c r="J201" s="125" t="s"/>
      <c r="K201" s="122" t="s">
        <v>639</v>
      </c>
      <c r="L201" s="134">
        <v>0</v>
      </c>
    </row>
    <row r="202" spans="1:12" ht="20" customHeight="1">
      <c r="A202" s="129" t="s">
        <v>1058</v>
      </c>
      <c r="B202" s="122" t="s">
        <v>1059</v>
      </c>
      <c r="C202" s="129">
        <v>3</v>
      </c>
      <c r="D202" s="129" t="s">
        <v>596</v>
      </c>
      <c r="E202" s="130">
        <v>46288</v>
      </c>
      <c r="F202" s="130">
        <v>46295</v>
      </c>
      <c r="G202" s="131">
        <v>5</v>
      </c>
      <c r="H202" s="132">
        <v>0.25</v>
      </c>
      <c r="I202" s="122" t="s">
        <v>657</v>
      </c>
      <c r="J202" s="122" t="s"/>
      <c r="K202" s="122" t="s">
        <v>639</v>
      </c>
      <c r="L202" s="134">
        <v>0</v>
      </c>
    </row>
    <row r="203" spans="1:12" ht="20" customHeight="1">
      <c r="A203" s="129" t="s">
        <v>1060</v>
      </c>
      <c r="B203" s="122" t="s">
        <v>1061</v>
      </c>
      <c r="C203" s="129">
        <v>3</v>
      </c>
      <c r="D203" s="129" t="s">
        <v>596</v>
      </c>
      <c r="E203" s="130">
        <v>46353</v>
      </c>
      <c r="F203" s="130">
        <v>46353</v>
      </c>
      <c r="G203" s="131">
        <v>1</v>
      </c>
      <c r="H203" s="132">
        <v>0.5</v>
      </c>
      <c r="I203" s="122" t="s">
        <v>644</v>
      </c>
      <c r="J203" s="122" t="s"/>
      <c r="K203" s="122" t="s">
        <v>639</v>
      </c>
      <c r="L203" s="134">
        <v>0</v>
      </c>
    </row>
    <row r="204" spans="1:12" ht="20" customHeight="1">
      <c r="A204" s="129" t="s">
        <v>1062</v>
      </c>
      <c r="B204" s="122" t="s">
        <v>1063</v>
      </c>
      <c r="C204" s="129">
        <v>3</v>
      </c>
      <c r="D204" s="129" t="s">
        <v>596</v>
      </c>
      <c r="E204" s="130">
        <v>46353</v>
      </c>
      <c r="F204" s="130">
        <v>46356</v>
      </c>
      <c r="G204" s="131">
        <v>2</v>
      </c>
      <c r="H204" s="132">
        <v>0.5</v>
      </c>
      <c r="I204" s="122" t="s">
        <v>644</v>
      </c>
      <c r="J204" s="122" t="s"/>
      <c r="K204" s="122" t="s">
        <v>639</v>
      </c>
      <c r="L204" s="135">
        <v>0</v>
      </c>
    </row>
    <row r="205" spans="1:12" ht="20" customHeight="1">
      <c r="A205" s="129" t="s">
        <v>1064</v>
      </c>
      <c r="B205" s="122" t="s">
        <v>1065</v>
      </c>
      <c r="C205" s="129">
        <v>3</v>
      </c>
      <c r="D205" s="129" t="s">
        <v>596</v>
      </c>
      <c r="E205" s="130">
        <v>46358</v>
      </c>
      <c r="F205" s="130">
        <v>46358</v>
      </c>
      <c r="G205" s="131">
        <v>1</v>
      </c>
      <c r="H205" s="132">
        <v>0.25</v>
      </c>
      <c r="I205" s="122" t="s">
        <v>644</v>
      </c>
      <c r="J205" s="122" t="s">
        <v>1066</v>
      </c>
      <c r="K205" s="122" t="s">
        <v>639</v>
      </c>
      <c r="L205" s="134">
        <v>0</v>
      </c>
    </row>
    <row r="206" spans="1:12" ht="20" customHeight="1">
      <c r="A206" s="129" t="s">
        <v>1067</v>
      </c>
      <c r="B206" s="122" t="s">
        <v>1068</v>
      </c>
      <c r="C206" s="129">
        <v>3</v>
      </c>
      <c r="D206" s="129" t="s">
        <v>596</v>
      </c>
      <c r="E206" s="130">
        <v>46359</v>
      </c>
      <c r="F206" s="130">
        <v>46360</v>
      </c>
      <c r="G206" s="131">
        <v>2</v>
      </c>
      <c r="H206" s="132">
        <v>0.5</v>
      </c>
      <c r="I206" s="122" t="s">
        <v>657</v>
      </c>
      <c r="J206" s="122" t="s">
        <v>1064</v>
      </c>
      <c r="K206" s="122" t="s">
        <v>639</v>
      </c>
      <c r="L206" s="134">
        <v>0</v>
      </c>
    </row>
    <row r="207" spans="1:12" ht="20" customHeight="1">
      <c r="A207" s="129" t="s">
        <v>1069</v>
      </c>
      <c r="B207" s="122" t="s">
        <v>1070</v>
      </c>
      <c r="C207" s="129">
        <v>3</v>
      </c>
      <c r="D207" s="129" t="s">
        <v>252</v>
      </c>
      <c r="E207" s="130">
        <v>46322</v>
      </c>
      <c r="F207" s="130">
        <v>46338</v>
      </c>
      <c r="G207" s="131">
        <v>13</v>
      </c>
      <c r="H207" s="132">
        <v>0.25</v>
      </c>
      <c r="I207" s="122" t="s">
        <v>681</v>
      </c>
      <c r="J207" s="122" t="s">
        <v>1058</v>
      </c>
      <c r="K207" s="122" t="s">
        <v>639</v>
      </c>
      <c r="L207" s="134">
        <v>0</v>
      </c>
    </row>
    <row r="208" spans="1:12" ht="20" customHeight="1">
      <c r="A208" s="129" t="s">
        <v>1071</v>
      </c>
      <c r="B208" s="122" t="s">
        <v>1072</v>
      </c>
      <c r="C208" s="129">
        <v>3</v>
      </c>
      <c r="D208" s="129" t="s">
        <v>252</v>
      </c>
      <c r="E208" s="130">
        <v>46322</v>
      </c>
      <c r="F208" s="130">
        <v>46339</v>
      </c>
      <c r="G208" s="131">
        <v>14</v>
      </c>
      <c r="H208" s="132">
        <v>0.25</v>
      </c>
      <c r="I208" s="122" t="s">
        <v>681</v>
      </c>
      <c r="J208" s="122" t="s">
        <v>1058</v>
      </c>
      <c r="K208" s="122" t="s">
        <v>639</v>
      </c>
      <c r="L208" s="134">
        <v>0</v>
      </c>
    </row>
    <row r="209" spans="1:12" ht="20" customHeight="1">
      <c r="A209" s="129" t="s">
        <v>1073</v>
      </c>
      <c r="B209" s="122" t="s">
        <v>1074</v>
      </c>
      <c r="C209" s="129">
        <v>3</v>
      </c>
      <c r="D209" s="129" t="s">
        <v>259</v>
      </c>
      <c r="E209" s="130">
        <v>46345</v>
      </c>
      <c r="F209" s="130">
        <v>46353</v>
      </c>
      <c r="G209" s="131">
        <v>7</v>
      </c>
      <c r="H209" s="132">
        <v>0.5</v>
      </c>
      <c r="I209" s="122" t="s">
        <v>681</v>
      </c>
      <c r="J209" s="122" t="s">
        <v>1058</v>
      </c>
      <c r="K209" s="122" t="s">
        <v>639</v>
      </c>
      <c r="L209" s="134">
        <v>0</v>
      </c>
    </row>
    <row r="210" spans="1:12" ht="20" customHeight="1">
      <c r="A210" s="129" t="s">
        <v>1075</v>
      </c>
      <c r="B210" s="122" t="s">
        <v>1076</v>
      </c>
      <c r="C210" s="129">
        <v>3</v>
      </c>
      <c r="D210" s="129" t="s">
        <v>259</v>
      </c>
      <c r="E210" s="130">
        <v>46345</v>
      </c>
      <c r="F210" s="130">
        <v>46353</v>
      </c>
      <c r="G210" s="131">
        <v>7</v>
      </c>
      <c r="H210" s="132">
        <v>0.25</v>
      </c>
      <c r="I210" s="122" t="s">
        <v>681</v>
      </c>
      <c r="J210" s="122" t="s">
        <v>1058</v>
      </c>
      <c r="K210" s="122" t="s">
        <v>639</v>
      </c>
      <c r="L210" s="134">
        <v>0</v>
      </c>
    </row>
    <row r="211" spans="1:12" ht="20" customHeight="1">
      <c r="A211" s="124" t="s">
        <v>1077</v>
      </c>
      <c r="B211" s="125" t="s">
        <v>1078</v>
      </c>
      <c r="C211" s="124">
        <v>2</v>
      </c>
      <c r="D211" s="124" t="s">
        <v>638</v>
      </c>
      <c r="E211" s="126">
        <v>46288</v>
      </c>
      <c r="F211" s="126">
        <v>46363</v>
      </c>
      <c r="G211" s="127">
        <v>48</v>
      </c>
      <c r="H211" s="128" t="s"/>
      <c r="I211" s="125" t="s"/>
      <c r="J211" s="125" t="s"/>
      <c r="K211" s="122" t="s">
        <v>639</v>
      </c>
      <c r="L211" s="134">
        <v>0</v>
      </c>
    </row>
    <row r="212" spans="1:12" ht="20" customHeight="1">
      <c r="A212" s="129" t="s">
        <v>1079</v>
      </c>
      <c r="B212" s="122" t="s">
        <v>1080</v>
      </c>
      <c r="C212" s="129">
        <v>3</v>
      </c>
      <c r="D212" s="129" t="s">
        <v>596</v>
      </c>
      <c r="E212" s="130">
        <v>46288</v>
      </c>
      <c r="F212" s="130">
        <v>46303</v>
      </c>
      <c r="G212" s="131">
        <v>6</v>
      </c>
      <c r="H212" s="132">
        <v>0.5</v>
      </c>
      <c r="I212" s="122" t="s">
        <v>657</v>
      </c>
      <c r="J212" s="122" t="s"/>
      <c r="K212" s="122" t="s">
        <v>639</v>
      </c>
      <c r="L212" s="134">
        <v>0</v>
      </c>
    </row>
    <row r="213" spans="1:12" ht="20" customHeight="1">
      <c r="A213" s="129" t="s">
        <v>1081</v>
      </c>
      <c r="B213" s="122" t="s">
        <v>1082</v>
      </c>
      <c r="C213" s="129">
        <v>3</v>
      </c>
      <c r="D213" s="129" t="s">
        <v>596</v>
      </c>
      <c r="E213" s="130">
        <v>46353</v>
      </c>
      <c r="F213" s="130">
        <v>46356</v>
      </c>
      <c r="G213" s="131">
        <v>2</v>
      </c>
      <c r="H213" s="132">
        <v>0.25</v>
      </c>
      <c r="I213" s="122" t="s">
        <v>644</v>
      </c>
      <c r="J213" s="122" t="s"/>
      <c r="K213" s="122" t="s">
        <v>639</v>
      </c>
      <c r="L213" s="134">
        <v>0</v>
      </c>
    </row>
    <row r="214" spans="1:12" ht="20" customHeight="1">
      <c r="A214" s="129" t="s">
        <v>1083</v>
      </c>
      <c r="B214" s="122" t="s">
        <v>1084</v>
      </c>
      <c r="C214" s="129">
        <v>3</v>
      </c>
      <c r="D214" s="129" t="s">
        <v>596</v>
      </c>
      <c r="E214" s="130">
        <v>46353</v>
      </c>
      <c r="F214" s="130">
        <v>46357</v>
      </c>
      <c r="G214" s="131">
        <v>3</v>
      </c>
      <c r="H214" s="132">
        <v>0.5</v>
      </c>
      <c r="I214" s="122" t="s">
        <v>644</v>
      </c>
      <c r="J214" s="122" t="s"/>
      <c r="K214" s="122" t="s">
        <v>639</v>
      </c>
      <c r="L214" s="135">
        <v>0</v>
      </c>
    </row>
    <row r="215" spans="1:12" ht="20" customHeight="1">
      <c r="A215" s="129" t="s">
        <v>1085</v>
      </c>
      <c r="B215" s="122" t="s">
        <v>1086</v>
      </c>
      <c r="C215" s="129">
        <v>3</v>
      </c>
      <c r="D215" s="129" t="s">
        <v>596</v>
      </c>
      <c r="E215" s="130">
        <v>46358</v>
      </c>
      <c r="F215" s="130">
        <v>46359</v>
      </c>
      <c r="G215" s="131">
        <v>2</v>
      </c>
      <c r="H215" s="132">
        <v>0.5</v>
      </c>
      <c r="I215" s="122" t="s">
        <v>644</v>
      </c>
      <c r="J215" s="122" t="s">
        <v>1087</v>
      </c>
      <c r="K215" s="122" t="s">
        <v>639</v>
      </c>
      <c r="L215" s="134">
        <v>0</v>
      </c>
    </row>
    <row r="216" spans="1:12" ht="20" customHeight="1">
      <c r="A216" s="129" t="s">
        <v>1088</v>
      </c>
      <c r="B216" s="122" t="s">
        <v>1089</v>
      </c>
      <c r="C216" s="129">
        <v>3</v>
      </c>
      <c r="D216" s="129" t="s">
        <v>596</v>
      </c>
      <c r="E216" s="130">
        <v>46360</v>
      </c>
      <c r="F216" s="130">
        <v>46363</v>
      </c>
      <c r="G216" s="131">
        <v>2</v>
      </c>
      <c r="H216" s="132">
        <v>0.5</v>
      </c>
      <c r="I216" s="122" t="s">
        <v>657</v>
      </c>
      <c r="J216" s="122" t="s">
        <v>1085</v>
      </c>
      <c r="K216" s="122" t="s">
        <v>639</v>
      </c>
      <c r="L216" s="134">
        <v>0</v>
      </c>
    </row>
    <row r="217" spans="1:12" ht="20" customHeight="1">
      <c r="A217" s="129" t="s">
        <v>1090</v>
      </c>
      <c r="B217" s="122" t="s">
        <v>1091</v>
      </c>
      <c r="C217" s="129">
        <v>3</v>
      </c>
      <c r="D217" s="129" t="s">
        <v>252</v>
      </c>
      <c r="E217" s="130">
        <v>46322</v>
      </c>
      <c r="F217" s="130">
        <v>46339</v>
      </c>
      <c r="G217" s="131">
        <v>14</v>
      </c>
      <c r="H217" s="132">
        <v>0.75</v>
      </c>
      <c r="I217" s="122" t="s">
        <v>681</v>
      </c>
      <c r="J217" s="122" t="s">
        <v>1079</v>
      </c>
      <c r="K217" s="122" t="s">
        <v>639</v>
      </c>
      <c r="L217" s="134">
        <v>0</v>
      </c>
    </row>
    <row r="218" spans="1:12" ht="20" customHeight="1">
      <c r="A218" s="129" t="s">
        <v>1092</v>
      </c>
      <c r="B218" s="122" t="s">
        <v>1093</v>
      </c>
      <c r="C218" s="129">
        <v>3</v>
      </c>
      <c r="D218" s="129" t="s">
        <v>252</v>
      </c>
      <c r="E218" s="130">
        <v>46342</v>
      </c>
      <c r="F218" s="130">
        <v>46343</v>
      </c>
      <c r="G218" s="131">
        <v>2</v>
      </c>
      <c r="H218" s="132">
        <v>0.25</v>
      </c>
      <c r="I218" s="122" t="s">
        <v>681</v>
      </c>
      <c r="J218" s="122" t="s">
        <v>1079</v>
      </c>
      <c r="K218" s="122" t="s">
        <v>639</v>
      </c>
      <c r="L218" s="134">
        <v>0</v>
      </c>
    </row>
    <row r="219" spans="1:12" ht="20" customHeight="1">
      <c r="A219" s="129" t="s">
        <v>1094</v>
      </c>
      <c r="B219" s="122" t="s">
        <v>1095</v>
      </c>
      <c r="C219" s="129">
        <v>3</v>
      </c>
      <c r="D219" s="129" t="s">
        <v>259</v>
      </c>
      <c r="E219" s="130">
        <v>46345</v>
      </c>
      <c r="F219" s="130">
        <v>46356</v>
      </c>
      <c r="G219" s="131">
        <v>8</v>
      </c>
      <c r="H219" s="132">
        <v>0.5</v>
      </c>
      <c r="I219" s="122" t="s">
        <v>681</v>
      </c>
      <c r="J219" s="122" t="s">
        <v>1079</v>
      </c>
      <c r="K219" s="122" t="s">
        <v>639</v>
      </c>
      <c r="L219" s="134">
        <v>0</v>
      </c>
    </row>
    <row r="220" spans="1:12" ht="20" customHeight="1">
      <c r="A220" s="129" t="s">
        <v>1096</v>
      </c>
      <c r="B220" s="122" t="s">
        <v>1097</v>
      </c>
      <c r="C220" s="129">
        <v>3</v>
      </c>
      <c r="D220" s="129" t="s">
        <v>259</v>
      </c>
      <c r="E220" s="130">
        <v>46345</v>
      </c>
      <c r="F220" s="130">
        <v>46356</v>
      </c>
      <c r="G220" s="131">
        <v>8</v>
      </c>
      <c r="H220" s="132">
        <v>0.5</v>
      </c>
      <c r="I220" s="122" t="s">
        <v>681</v>
      </c>
      <c r="J220" s="122" t="s">
        <v>1079</v>
      </c>
      <c r="K220" s="122" t="s">
        <v>639</v>
      </c>
      <c r="L220" s="134">
        <v>0</v>
      </c>
    </row>
    <row r="221" spans="1:12" ht="20" customHeight="1">
      <c r="A221" s="129" t="s">
        <v>1098</v>
      </c>
      <c r="B221" s="122" t="s">
        <v>1099</v>
      </c>
      <c r="C221" s="129">
        <v>3</v>
      </c>
      <c r="D221" s="129" t="s">
        <v>259</v>
      </c>
      <c r="E221" s="130">
        <v>46345</v>
      </c>
      <c r="F221" s="130">
        <v>46357</v>
      </c>
      <c r="G221" s="131">
        <v>9</v>
      </c>
      <c r="H221" s="132">
        <v>0.25</v>
      </c>
      <c r="I221" s="122" t="s">
        <v>681</v>
      </c>
      <c r="J221" s="122" t="s">
        <v>1079</v>
      </c>
      <c r="K221" s="122" t="s">
        <v>639</v>
      </c>
      <c r="L221" s="134">
        <v>0</v>
      </c>
    </row>
    <row r="222" spans="1:12" ht="20" customHeight="1">
      <c r="A222" s="124" t="s">
        <v>1100</v>
      </c>
      <c r="B222" s="125" t="s">
        <v>1101</v>
      </c>
      <c r="C222" s="124">
        <v>2</v>
      </c>
      <c r="D222" s="124" t="s">
        <v>638</v>
      </c>
      <c r="E222" s="126">
        <v>46288</v>
      </c>
      <c r="F222" s="126">
        <v>46366</v>
      </c>
      <c r="G222" s="127">
        <v>51</v>
      </c>
      <c r="H222" s="128" t="s"/>
      <c r="I222" s="125" t="s"/>
      <c r="J222" s="125" t="s"/>
      <c r="K222" s="122" t="s">
        <v>639</v>
      </c>
      <c r="L222" s="134">
        <v>0</v>
      </c>
    </row>
    <row r="223" spans="1:12" ht="20" customHeight="1">
      <c r="A223" s="129" t="s">
        <v>1102</v>
      </c>
      <c r="B223" s="122" t="s">
        <v>1103</v>
      </c>
      <c r="C223" s="129">
        <v>3</v>
      </c>
      <c r="D223" s="129" t="s">
        <v>596</v>
      </c>
      <c r="E223" s="130">
        <v>46288</v>
      </c>
      <c r="F223" s="130">
        <v>46303</v>
      </c>
      <c r="G223" s="131">
        <v>6</v>
      </c>
      <c r="H223" s="132">
        <v>0.5</v>
      </c>
      <c r="I223" s="122" t="s">
        <v>657</v>
      </c>
      <c r="J223" s="122" t="s"/>
      <c r="K223" s="122" t="s">
        <v>639</v>
      </c>
      <c r="L223" s="134">
        <v>0</v>
      </c>
    </row>
    <row r="224" spans="1:12" ht="20" customHeight="1">
      <c r="A224" s="129" t="s">
        <v>1104</v>
      </c>
      <c r="B224" s="122" t="s">
        <v>1105</v>
      </c>
      <c r="C224" s="129">
        <v>3</v>
      </c>
      <c r="D224" s="129" t="s">
        <v>596</v>
      </c>
      <c r="E224" s="130">
        <v>46353</v>
      </c>
      <c r="F224" s="130">
        <v>46357</v>
      </c>
      <c r="G224" s="131">
        <v>3</v>
      </c>
      <c r="H224" s="132">
        <v>0.25</v>
      </c>
      <c r="I224" s="122" t="s">
        <v>644</v>
      </c>
      <c r="J224" s="122" t="s"/>
      <c r="K224" s="122" t="s">
        <v>639</v>
      </c>
      <c r="L224" s="135">
        <v>0</v>
      </c>
    </row>
    <row r="225" spans="1:12" ht="20" customHeight="1">
      <c r="A225" s="129" t="s">
        <v>1106</v>
      </c>
      <c r="B225" s="122" t="s">
        <v>1107</v>
      </c>
      <c r="C225" s="129">
        <v>3</v>
      </c>
      <c r="D225" s="129" t="s">
        <v>596</v>
      </c>
      <c r="E225" s="130">
        <v>46353</v>
      </c>
      <c r="F225" s="130">
        <v>46357</v>
      </c>
      <c r="G225" s="131">
        <v>3</v>
      </c>
      <c r="H225" s="132">
        <v>0.5</v>
      </c>
      <c r="I225" s="122" t="s">
        <v>644</v>
      </c>
      <c r="J225" s="122" t="s"/>
      <c r="K225" s="122" t="s">
        <v>639</v>
      </c>
      <c r="L225" s="134">
        <v>0</v>
      </c>
    </row>
    <row r="226" spans="1:12" ht="20" customHeight="1">
      <c r="A226" s="129" t="s">
        <v>1108</v>
      </c>
      <c r="B226" s="122" t="s">
        <v>1109</v>
      </c>
      <c r="C226" s="129">
        <v>3</v>
      </c>
      <c r="D226" s="129" t="s">
        <v>596</v>
      </c>
      <c r="E226" s="130">
        <v>46360</v>
      </c>
      <c r="F226" s="130">
        <v>46363</v>
      </c>
      <c r="G226" s="131">
        <v>2</v>
      </c>
      <c r="H226" s="132">
        <v>0.75</v>
      </c>
      <c r="I226" s="122" t="s">
        <v>644</v>
      </c>
      <c r="J226" s="122" t="s">
        <v>1110</v>
      </c>
      <c r="K226" s="122" t="s">
        <v>639</v>
      </c>
      <c r="L226" s="134">
        <v>0</v>
      </c>
    </row>
    <row r="227" spans="1:12" ht="20" customHeight="1">
      <c r="A227" s="129" t="s">
        <v>1111</v>
      </c>
      <c r="B227" s="122" t="s">
        <v>1112</v>
      </c>
      <c r="C227" s="129">
        <v>3</v>
      </c>
      <c r="D227" s="129" t="s">
        <v>596</v>
      </c>
      <c r="E227" s="130">
        <v>46365</v>
      </c>
      <c r="F227" s="130">
        <v>46366</v>
      </c>
      <c r="G227" s="131">
        <v>2</v>
      </c>
      <c r="H227" s="132">
        <v>0.5</v>
      </c>
      <c r="I227" s="122" t="s">
        <v>657</v>
      </c>
      <c r="J227" s="122" t="s">
        <v>1108</v>
      </c>
      <c r="K227" s="122" t="s">
        <v>639</v>
      </c>
      <c r="L227" s="134">
        <v>0</v>
      </c>
    </row>
    <row r="228" spans="1:12" ht="20" customHeight="1">
      <c r="A228" s="129" t="s">
        <v>1113</v>
      </c>
      <c r="B228" s="122" t="s">
        <v>1114</v>
      </c>
      <c r="C228" s="129">
        <v>3</v>
      </c>
      <c r="D228" s="129" t="s">
        <v>252</v>
      </c>
      <c r="E228" s="130">
        <v>46342</v>
      </c>
      <c r="F228" s="130">
        <v>46344</v>
      </c>
      <c r="G228" s="131">
        <v>3</v>
      </c>
      <c r="H228" s="132">
        <v>0.5</v>
      </c>
      <c r="I228" s="122" t="s">
        <v>644</v>
      </c>
      <c r="J228" s="122" t="s">
        <v>1102</v>
      </c>
      <c r="K228" s="122" t="s">
        <v>639</v>
      </c>
      <c r="L228" s="134">
        <v>0</v>
      </c>
    </row>
    <row r="229" spans="1:12" ht="20" customHeight="1">
      <c r="A229" s="129" t="s">
        <v>1115</v>
      </c>
      <c r="B229" s="122" t="s">
        <v>1116</v>
      </c>
      <c r="C229" s="129">
        <v>3</v>
      </c>
      <c r="D229" s="129" t="s">
        <v>252</v>
      </c>
      <c r="E229" s="130">
        <v>46342</v>
      </c>
      <c r="F229" s="130">
        <v>46346</v>
      </c>
      <c r="G229" s="131">
        <v>5</v>
      </c>
      <c r="H229" s="132">
        <v>2</v>
      </c>
      <c r="I229" s="122" t="s">
        <v>644</v>
      </c>
      <c r="J229" s="122" t="s">
        <v>1102</v>
      </c>
      <c r="K229" s="122" t="s">
        <v>639</v>
      </c>
      <c r="L229" s="134">
        <v>0</v>
      </c>
    </row>
    <row r="230" spans="1:12" ht="20" customHeight="1">
      <c r="A230" s="129" t="s">
        <v>1117</v>
      </c>
      <c r="B230" s="122" t="s">
        <v>1118</v>
      </c>
      <c r="C230" s="129">
        <v>3</v>
      </c>
      <c r="D230" s="129" t="s">
        <v>259</v>
      </c>
      <c r="E230" s="130">
        <v>46357</v>
      </c>
      <c r="F230" s="130">
        <v>46358</v>
      </c>
      <c r="G230" s="131">
        <v>2</v>
      </c>
      <c r="H230" s="132">
        <v>1</v>
      </c>
      <c r="I230" s="122" t="s">
        <v>644</v>
      </c>
      <c r="J230" s="122" t="s">
        <v>1102</v>
      </c>
      <c r="K230" s="122" t="s">
        <v>639</v>
      </c>
      <c r="L230" s="134">
        <v>0</v>
      </c>
    </row>
    <row r="231" spans="1:12" ht="20" customHeight="1">
      <c r="A231" s="129" t="s">
        <v>1119</v>
      </c>
      <c r="B231" s="122" t="s">
        <v>1120</v>
      </c>
      <c r="C231" s="129">
        <v>3</v>
      </c>
      <c r="D231" s="129" t="s">
        <v>259</v>
      </c>
      <c r="E231" s="130">
        <v>46357</v>
      </c>
      <c r="F231" s="130">
        <v>46358</v>
      </c>
      <c r="G231" s="131">
        <v>2</v>
      </c>
      <c r="H231" s="132">
        <v>0.25</v>
      </c>
      <c r="I231" s="122" t="s">
        <v>644</v>
      </c>
      <c r="J231" s="122" t="s">
        <v>1102</v>
      </c>
      <c r="K231" s="122" t="s">
        <v>639</v>
      </c>
      <c r="L231" s="134">
        <v>0</v>
      </c>
    </row>
    <row r="232" spans="1:12" ht="20" customHeight="1">
      <c r="A232" s="129" t="s">
        <v>1121</v>
      </c>
      <c r="B232" s="122" t="s">
        <v>1122</v>
      </c>
      <c r="C232" s="129">
        <v>3</v>
      </c>
      <c r="D232" s="129" t="s">
        <v>259</v>
      </c>
      <c r="E232" s="130">
        <v>46357</v>
      </c>
      <c r="F232" s="130">
        <v>46359</v>
      </c>
      <c r="G232" s="131">
        <v>3</v>
      </c>
      <c r="H232" s="132">
        <v>1.25</v>
      </c>
      <c r="I232" s="122" t="s">
        <v>644</v>
      </c>
      <c r="J232" s="122" t="s">
        <v>1102</v>
      </c>
      <c r="K232" s="122" t="s">
        <v>639</v>
      </c>
      <c r="L232" s="134">
        <v>0</v>
      </c>
    </row>
    <row r="233" spans="1:12" ht="20" customHeight="1">
      <c r="A233" s="124" t="s">
        <v>1123</v>
      </c>
      <c r="B233" s="125" t="s">
        <v>1124</v>
      </c>
      <c r="C233" s="124">
        <v>2</v>
      </c>
      <c r="D233" s="124" t="s">
        <v>638</v>
      </c>
      <c r="E233" s="126">
        <v>46342</v>
      </c>
      <c r="F233" s="126">
        <v>46370</v>
      </c>
      <c r="G233" s="127">
        <v>21</v>
      </c>
      <c r="H233" s="128" t="s"/>
      <c r="I233" s="125" t="s"/>
      <c r="J233" s="125" t="s"/>
      <c r="K233" s="122" t="s">
        <v>639</v>
      </c>
      <c r="L233" s="134">
        <v>0</v>
      </c>
    </row>
    <row r="234" spans="1:12" ht="20" customHeight="1">
      <c r="A234" s="129" t="s">
        <v>1125</v>
      </c>
      <c r="B234" s="122" t="s">
        <v>1126</v>
      </c>
      <c r="C234" s="129">
        <v>3</v>
      </c>
      <c r="D234" s="129" t="s">
        <v>596</v>
      </c>
      <c r="E234" s="130">
        <v>46358</v>
      </c>
      <c r="F234" s="130">
        <v>46359</v>
      </c>
      <c r="G234" s="131">
        <v>2</v>
      </c>
      <c r="H234" s="132">
        <v>0.25</v>
      </c>
      <c r="I234" s="122" t="s">
        <v>644</v>
      </c>
      <c r="J234" s="122" t="s"/>
      <c r="K234" s="122" t="s">
        <v>639</v>
      </c>
      <c r="L234" s="135">
        <v>0</v>
      </c>
    </row>
    <row r="235" spans="1:12" ht="20" customHeight="1">
      <c r="A235" s="129" t="s">
        <v>1127</v>
      </c>
      <c r="B235" s="122" t="s">
        <v>1128</v>
      </c>
      <c r="C235" s="129">
        <v>3</v>
      </c>
      <c r="D235" s="129" t="s">
        <v>596</v>
      </c>
      <c r="E235" s="130">
        <v>46365</v>
      </c>
      <c r="F235" s="130">
        <v>46366</v>
      </c>
      <c r="G235" s="131">
        <v>2</v>
      </c>
      <c r="H235" s="132">
        <v>0.25</v>
      </c>
      <c r="I235" s="122" t="s">
        <v>644</v>
      </c>
      <c r="J235" s="122" t="s">
        <v>1129</v>
      </c>
      <c r="K235" s="122" t="s">
        <v>639</v>
      </c>
      <c r="L235" s="134">
        <v>0</v>
      </c>
    </row>
    <row r="236" spans="1:12" ht="20" customHeight="1">
      <c r="A236" s="129" t="s">
        <v>1130</v>
      </c>
      <c r="B236" s="122" t="s">
        <v>1131</v>
      </c>
      <c r="C236" s="129">
        <v>3</v>
      </c>
      <c r="D236" s="129" t="s">
        <v>596</v>
      </c>
      <c r="E236" s="130">
        <v>46370</v>
      </c>
      <c r="F236" s="130">
        <v>46370</v>
      </c>
      <c r="G236" s="131">
        <v>1</v>
      </c>
      <c r="H236" s="132">
        <v>0.25</v>
      </c>
      <c r="I236" s="122" t="s">
        <v>657</v>
      </c>
      <c r="J236" s="122" t="s">
        <v>1127</v>
      </c>
      <c r="K236" s="122" t="s">
        <v>639</v>
      </c>
      <c r="L236" s="134">
        <v>0</v>
      </c>
    </row>
    <row r="237" spans="1:12" ht="20" customHeight="1">
      <c r="A237" s="129" t="s">
        <v>1132</v>
      </c>
      <c r="B237" s="122" t="s">
        <v>1133</v>
      </c>
      <c r="C237" s="129">
        <v>3</v>
      </c>
      <c r="D237" s="129" t="s">
        <v>252</v>
      </c>
      <c r="E237" s="130">
        <v>46342</v>
      </c>
      <c r="F237" s="130">
        <v>46346</v>
      </c>
      <c r="G237" s="131">
        <v>5</v>
      </c>
      <c r="H237" s="132">
        <v>0.75</v>
      </c>
      <c r="I237" s="122" t="s">
        <v>644</v>
      </c>
      <c r="J237" s="122" t="s"/>
      <c r="K237" s="122" t="s">
        <v>639</v>
      </c>
      <c r="L237" s="134">
        <v>0</v>
      </c>
    </row>
    <row r="238" spans="1:12" ht="20" customHeight="1">
      <c r="A238" s="129" t="s">
        <v>1134</v>
      </c>
      <c r="B238" s="122" t="s">
        <v>1135</v>
      </c>
      <c r="C238" s="129">
        <v>3</v>
      </c>
      <c r="D238" s="129" t="s">
        <v>259</v>
      </c>
      <c r="E238" s="130">
        <v>46357</v>
      </c>
      <c r="F238" s="130">
        <v>46360</v>
      </c>
      <c r="G238" s="131">
        <v>4</v>
      </c>
      <c r="H238" s="132">
        <v>0.5</v>
      </c>
      <c r="I238" s="122" t="s">
        <v>644</v>
      </c>
      <c r="J238" s="122" t="s"/>
      <c r="K238" s="122" t="s">
        <v>639</v>
      </c>
      <c r="L238" s="134">
        <v>0</v>
      </c>
    </row>
    <row r="239" spans="1:12" ht="20" customHeight="1">
      <c r="A239" s="124" t="s">
        <v>1136</v>
      </c>
      <c r="B239" s="125" t="s">
        <v>1137</v>
      </c>
      <c r="C239" s="124">
        <v>2</v>
      </c>
      <c r="D239" s="124" t="s">
        <v>638</v>
      </c>
      <c r="E239" s="126">
        <v>46342</v>
      </c>
      <c r="F239" s="126">
        <v>46370</v>
      </c>
      <c r="G239" s="127">
        <v>21</v>
      </c>
      <c r="H239" s="128" t="s"/>
      <c r="I239" s="125" t="s"/>
      <c r="J239" s="125" t="s"/>
      <c r="K239" s="122" t="s">
        <v>639</v>
      </c>
      <c r="L239" s="134">
        <v>0</v>
      </c>
    </row>
    <row r="240" spans="1:12" ht="20" customHeight="1">
      <c r="A240" s="129" t="s">
        <v>1138</v>
      </c>
      <c r="B240" s="122" t="s">
        <v>1139</v>
      </c>
      <c r="C240" s="129">
        <v>3</v>
      </c>
      <c r="D240" s="129" t="s">
        <v>596</v>
      </c>
      <c r="E240" s="130">
        <v>46360</v>
      </c>
      <c r="F240" s="130">
        <v>46364</v>
      </c>
      <c r="G240" s="131">
        <v>3</v>
      </c>
      <c r="H240" s="132">
        <v>0.25</v>
      </c>
      <c r="I240" s="122" t="s">
        <v>644</v>
      </c>
      <c r="J240" s="122" t="s"/>
      <c r="K240" s="122" t="s">
        <v>639</v>
      </c>
      <c r="L240" s="134">
        <v>0</v>
      </c>
    </row>
    <row r="241" spans="1:12" ht="20" customHeight="1">
      <c r="A241" s="129" t="s">
        <v>1140</v>
      </c>
      <c r="B241" s="122" t="s">
        <v>1141</v>
      </c>
      <c r="C241" s="129">
        <v>3</v>
      </c>
      <c r="D241" s="129" t="s">
        <v>596</v>
      </c>
      <c r="E241" s="130">
        <v>46365</v>
      </c>
      <c r="F241" s="130">
        <v>46366</v>
      </c>
      <c r="G241" s="131">
        <v>2</v>
      </c>
      <c r="H241" s="132">
        <v>0.25</v>
      </c>
      <c r="I241" s="122" t="s">
        <v>644</v>
      </c>
      <c r="J241" s="122" t="s">
        <v>1142</v>
      </c>
      <c r="K241" s="122" t="s">
        <v>639</v>
      </c>
      <c r="L241" s="134">
        <v>0</v>
      </c>
    </row>
    <row r="242" spans="1:12" ht="20" customHeight="1">
      <c r="A242" s="129" t="s">
        <v>1143</v>
      </c>
      <c r="B242" s="122" t="s">
        <v>1144</v>
      </c>
      <c r="C242" s="129">
        <v>3</v>
      </c>
      <c r="D242" s="129" t="s">
        <v>596</v>
      </c>
      <c r="E242" s="130">
        <v>46370</v>
      </c>
      <c r="F242" s="130">
        <v>46370</v>
      </c>
      <c r="G242" s="131">
        <v>1</v>
      </c>
      <c r="H242" s="132">
        <v>0.25</v>
      </c>
      <c r="I242" s="122" t="s">
        <v>657</v>
      </c>
      <c r="J242" s="122" t="s">
        <v>1140</v>
      </c>
      <c r="K242" s="122" t="s">
        <v>639</v>
      </c>
      <c r="L242" s="134">
        <v>0</v>
      </c>
    </row>
    <row r="243" spans="1:12" ht="20" customHeight="1">
      <c r="A243" s="129" t="s">
        <v>1145</v>
      </c>
      <c r="B243" s="122" t="s">
        <v>1146</v>
      </c>
      <c r="C243" s="129">
        <v>3</v>
      </c>
      <c r="D243" s="129" t="s">
        <v>252</v>
      </c>
      <c r="E243" s="130">
        <v>46342</v>
      </c>
      <c r="F243" s="130">
        <v>46349</v>
      </c>
      <c r="G243" s="131">
        <v>6</v>
      </c>
      <c r="H243" s="132">
        <v>0.75</v>
      </c>
      <c r="I243" s="122" t="s">
        <v>644</v>
      </c>
      <c r="J243" s="122" t="s"/>
      <c r="K243" s="122" t="s">
        <v>639</v>
      </c>
      <c r="L243" s="134">
        <v>0</v>
      </c>
    </row>
    <row r="244" spans="1:12" ht="20" customHeight="1">
      <c r="A244" s="129" t="s">
        <v>1147</v>
      </c>
      <c r="B244" s="122" t="s">
        <v>1148</v>
      </c>
      <c r="C244" s="129">
        <v>3</v>
      </c>
      <c r="D244" s="129" t="s">
        <v>259</v>
      </c>
      <c r="E244" s="130">
        <v>46357</v>
      </c>
      <c r="F244" s="130">
        <v>46360</v>
      </c>
      <c r="G244" s="131">
        <v>4</v>
      </c>
      <c r="H244" s="132">
        <v>0.5</v>
      </c>
      <c r="I244" s="122" t="s">
        <v>644</v>
      </c>
      <c r="J244" s="122" t="s"/>
      <c r="K244" s="122" t="s">
        <v>639</v>
      </c>
      <c r="L244" s="135">
        <v>0</v>
      </c>
    </row>
    <row r="245" spans="1:12" ht="20" customHeight="1">
      <c r="A245" s="124" t="s">
        <v>1149</v>
      </c>
      <c r="B245" s="125" t="s">
        <v>1150</v>
      </c>
      <c r="C245" s="124">
        <v>2</v>
      </c>
      <c r="D245" s="124" t="s">
        <v>638</v>
      </c>
      <c r="E245" s="126">
        <v>46342</v>
      </c>
      <c r="F245" s="126">
        <v>46370</v>
      </c>
      <c r="G245" s="127">
        <v>21</v>
      </c>
      <c r="H245" s="128" t="s"/>
      <c r="I245" s="125" t="s"/>
      <c r="J245" s="125" t="s"/>
      <c r="K245" s="122" t="s">
        <v>639</v>
      </c>
      <c r="L245" s="134">
        <v>0</v>
      </c>
    </row>
    <row r="246" spans="1:12" ht="20" customHeight="1">
      <c r="A246" s="129" t="s">
        <v>1151</v>
      </c>
      <c r="B246" s="122" t="s">
        <v>1152</v>
      </c>
      <c r="C246" s="129">
        <v>3</v>
      </c>
      <c r="D246" s="129" t="s">
        <v>596</v>
      </c>
      <c r="E246" s="130">
        <v>46360</v>
      </c>
      <c r="F246" s="130">
        <v>46364</v>
      </c>
      <c r="G246" s="131">
        <v>3</v>
      </c>
      <c r="H246" s="132">
        <v>0.5</v>
      </c>
      <c r="I246" s="122" t="s">
        <v>644</v>
      </c>
      <c r="J246" s="122" t="s"/>
      <c r="K246" s="122" t="s">
        <v>639</v>
      </c>
      <c r="L246" s="134">
        <v>0</v>
      </c>
    </row>
    <row r="247" spans="1:12" ht="20" customHeight="1">
      <c r="A247" s="129" t="s">
        <v>1153</v>
      </c>
      <c r="B247" s="122" t="s">
        <v>1154</v>
      </c>
      <c r="C247" s="129">
        <v>3</v>
      </c>
      <c r="D247" s="129" t="s">
        <v>596</v>
      </c>
      <c r="E247" s="130">
        <v>46365</v>
      </c>
      <c r="F247" s="130">
        <v>46367</v>
      </c>
      <c r="G247" s="131">
        <v>3</v>
      </c>
      <c r="H247" s="132">
        <v>0.5</v>
      </c>
      <c r="I247" s="122" t="s">
        <v>644</v>
      </c>
      <c r="J247" s="122" t="s">
        <v>1155</v>
      </c>
      <c r="K247" s="122" t="s">
        <v>639</v>
      </c>
      <c r="L247" s="134">
        <v>0</v>
      </c>
    </row>
    <row r="248" spans="1:12" ht="20" customHeight="1">
      <c r="A248" s="129" t="s">
        <v>1156</v>
      </c>
      <c r="B248" s="122" t="s">
        <v>1157</v>
      </c>
      <c r="C248" s="129">
        <v>3</v>
      </c>
      <c r="D248" s="129" t="s">
        <v>596</v>
      </c>
      <c r="E248" s="130">
        <v>46370</v>
      </c>
      <c r="F248" s="130">
        <v>46370</v>
      </c>
      <c r="G248" s="131">
        <v>1</v>
      </c>
      <c r="H248" s="132">
        <v>0.5</v>
      </c>
      <c r="I248" s="122" t="s">
        <v>657</v>
      </c>
      <c r="J248" s="122" t="s">
        <v>1153</v>
      </c>
      <c r="K248" s="122" t="s">
        <v>639</v>
      </c>
      <c r="L248" s="134">
        <v>0</v>
      </c>
    </row>
    <row r="249" spans="1:12" ht="20" customHeight="1">
      <c r="A249" s="129" t="s">
        <v>1158</v>
      </c>
      <c r="B249" s="122" t="s">
        <v>1159</v>
      </c>
      <c r="C249" s="129">
        <v>3</v>
      </c>
      <c r="D249" s="129" t="s">
        <v>252</v>
      </c>
      <c r="E249" s="130">
        <v>46342</v>
      </c>
      <c r="F249" s="130">
        <v>46351</v>
      </c>
      <c r="G249" s="131">
        <v>8</v>
      </c>
      <c r="H249" s="132">
        <v>2</v>
      </c>
      <c r="I249" s="122" t="s">
        <v>644</v>
      </c>
      <c r="J249" s="122" t="s"/>
      <c r="K249" s="122" t="s">
        <v>639</v>
      </c>
      <c r="L249" s="134">
        <v>0</v>
      </c>
    </row>
    <row r="250" spans="1:12" ht="20" customHeight="1">
      <c r="A250" s="129" t="s">
        <v>1160</v>
      </c>
      <c r="B250" s="122" t="s">
        <v>1161</v>
      </c>
      <c r="C250" s="129">
        <v>3</v>
      </c>
      <c r="D250" s="129" t="s">
        <v>252</v>
      </c>
      <c r="E250" s="130">
        <v>46342</v>
      </c>
      <c r="F250" s="130">
        <v>46351</v>
      </c>
      <c r="G250" s="131">
        <v>8</v>
      </c>
      <c r="H250" s="132">
        <v>0.25</v>
      </c>
      <c r="I250" s="122" t="s">
        <v>644</v>
      </c>
      <c r="J250" s="122" t="s"/>
      <c r="K250" s="122" t="s">
        <v>639</v>
      </c>
      <c r="L250" s="134">
        <v>0</v>
      </c>
    </row>
    <row r="251" spans="1:12" ht="20" customHeight="1">
      <c r="A251" s="129" t="s">
        <v>1162</v>
      </c>
      <c r="B251" s="122" t="s">
        <v>1163</v>
      </c>
      <c r="C251" s="129">
        <v>3</v>
      </c>
      <c r="D251" s="129" t="s">
        <v>259</v>
      </c>
      <c r="E251" s="130">
        <v>46357</v>
      </c>
      <c r="F251" s="130">
        <v>46363</v>
      </c>
      <c r="G251" s="131">
        <v>5</v>
      </c>
      <c r="H251" s="132">
        <v>0.75</v>
      </c>
      <c r="I251" s="122" t="s">
        <v>644</v>
      </c>
      <c r="J251" s="122" t="s"/>
      <c r="K251" s="122" t="s">
        <v>639</v>
      </c>
      <c r="L251" s="134">
        <v>0</v>
      </c>
    </row>
    <row r="252" spans="1:12" ht="20" customHeight="1">
      <c r="A252" s="124" t="s">
        <v>1164</v>
      </c>
      <c r="B252" s="125" t="s">
        <v>1165</v>
      </c>
      <c r="C252" s="124">
        <v>2</v>
      </c>
      <c r="D252" s="124" t="s">
        <v>638</v>
      </c>
      <c r="E252" s="126">
        <v>46352</v>
      </c>
      <c r="F252" s="126">
        <v>46373</v>
      </c>
      <c r="G252" s="127">
        <v>16</v>
      </c>
      <c r="H252" s="128" t="s"/>
      <c r="I252" s="125" t="s"/>
      <c r="J252" s="125" t="s"/>
      <c r="K252" s="122" t="s">
        <v>639</v>
      </c>
      <c r="L252" s="134">
        <v>0</v>
      </c>
    </row>
    <row r="253" spans="1:12" ht="20" customHeight="1">
      <c r="A253" s="129" t="s">
        <v>1166</v>
      </c>
      <c r="B253" s="122" t="s">
        <v>1167</v>
      </c>
      <c r="C253" s="129">
        <v>3</v>
      </c>
      <c r="D253" s="129" t="s">
        <v>596</v>
      </c>
      <c r="E253" s="130">
        <v>46360</v>
      </c>
      <c r="F253" s="130">
        <v>46365</v>
      </c>
      <c r="G253" s="131">
        <v>4</v>
      </c>
      <c r="H253" s="132">
        <v>0.5</v>
      </c>
      <c r="I253" s="122" t="s">
        <v>644</v>
      </c>
      <c r="J253" s="122" t="s"/>
      <c r="K253" s="122" t="s">
        <v>639</v>
      </c>
      <c r="L253" s="134">
        <v>0</v>
      </c>
    </row>
    <row r="254" spans="1:12" ht="20" customHeight="1">
      <c r="A254" s="129" t="s">
        <v>1168</v>
      </c>
      <c r="B254" s="122" t="s">
        <v>1169</v>
      </c>
      <c r="C254" s="129">
        <v>3</v>
      </c>
      <c r="D254" s="129" t="s">
        <v>596</v>
      </c>
      <c r="E254" s="130">
        <v>46360</v>
      </c>
      <c r="F254" s="130">
        <v>46365</v>
      </c>
      <c r="G254" s="131">
        <v>4</v>
      </c>
      <c r="H254" s="132">
        <v>0.5</v>
      </c>
      <c r="I254" s="122" t="s">
        <v>644</v>
      </c>
      <c r="J254" s="122" t="s"/>
      <c r="K254" s="122" t="s">
        <v>639</v>
      </c>
      <c r="L254" s="135">
        <v>0</v>
      </c>
    </row>
    <row r="255" spans="1:12" ht="20" customHeight="1">
      <c r="A255" s="129" t="s">
        <v>1170</v>
      </c>
      <c r="B255" s="122" t="s">
        <v>1171</v>
      </c>
      <c r="C255" s="129">
        <v>3</v>
      </c>
      <c r="D255" s="129" t="s">
        <v>596</v>
      </c>
      <c r="E255" s="130">
        <v>46370</v>
      </c>
      <c r="F255" s="130">
        <v>46371</v>
      </c>
      <c r="G255" s="131">
        <v>2</v>
      </c>
      <c r="H255" s="132">
        <v>0.25</v>
      </c>
      <c r="I255" s="122" t="s">
        <v>644</v>
      </c>
      <c r="J255" s="122" t="s">
        <v>1172</v>
      </c>
      <c r="K255" s="122" t="s">
        <v>639</v>
      </c>
      <c r="L255" s="134">
        <v>0</v>
      </c>
    </row>
    <row r="256" spans="1:12" ht="20" customHeight="1">
      <c r="A256" s="129" t="s">
        <v>1173</v>
      </c>
      <c r="B256" s="122" t="s">
        <v>1174</v>
      </c>
      <c r="C256" s="129">
        <v>3</v>
      </c>
      <c r="D256" s="129" t="s">
        <v>596</v>
      </c>
      <c r="E256" s="130">
        <v>46372</v>
      </c>
      <c r="F256" s="130">
        <v>46373</v>
      </c>
      <c r="G256" s="131">
        <v>2</v>
      </c>
      <c r="H256" s="132">
        <v>0.5</v>
      </c>
      <c r="I256" s="122" t="s">
        <v>657</v>
      </c>
      <c r="J256" s="122" t="s">
        <v>1170</v>
      </c>
      <c r="K256" s="122" t="s">
        <v>639</v>
      </c>
      <c r="L256" s="134">
        <v>0</v>
      </c>
    </row>
    <row r="257" spans="1:12" ht="20" customHeight="1">
      <c r="A257" s="129" t="s">
        <v>1175</v>
      </c>
      <c r="B257" s="122" t="s">
        <v>1176</v>
      </c>
      <c r="C257" s="129">
        <v>3</v>
      </c>
      <c r="D257" s="129" t="s">
        <v>252</v>
      </c>
      <c r="E257" s="130">
        <v>46352</v>
      </c>
      <c r="F257" s="130">
        <v>46352</v>
      </c>
      <c r="G257" s="131">
        <v>1</v>
      </c>
      <c r="H257" s="132">
        <v>0.5</v>
      </c>
      <c r="I257" s="122" t="s">
        <v>644</v>
      </c>
      <c r="J257" s="122" t="s"/>
      <c r="K257" s="122" t="s">
        <v>639</v>
      </c>
      <c r="L257" s="134">
        <v>0</v>
      </c>
    </row>
    <row r="258" spans="1:12" ht="20" customHeight="1">
      <c r="A258" s="129" t="s">
        <v>1177</v>
      </c>
      <c r="B258" s="122" t="s">
        <v>1178</v>
      </c>
      <c r="C258" s="129">
        <v>3</v>
      </c>
      <c r="D258" s="129" t="s">
        <v>252</v>
      </c>
      <c r="E258" s="130">
        <v>46352</v>
      </c>
      <c r="F258" s="130">
        <v>46353</v>
      </c>
      <c r="G258" s="131">
        <v>2</v>
      </c>
      <c r="H258" s="132">
        <v>1.5</v>
      </c>
      <c r="I258" s="122" t="s">
        <v>644</v>
      </c>
      <c r="J258" s="122" t="s"/>
      <c r="K258" s="122" t="s">
        <v>639</v>
      </c>
      <c r="L258" s="134">
        <v>0</v>
      </c>
    </row>
    <row r="259" spans="1:12" ht="20" customHeight="1">
      <c r="A259" s="129" t="s">
        <v>1179</v>
      </c>
      <c r="B259" s="122" t="s">
        <v>1180</v>
      </c>
      <c r="C259" s="129">
        <v>3</v>
      </c>
      <c r="D259" s="129" t="s">
        <v>259</v>
      </c>
      <c r="E259" s="130">
        <v>46357</v>
      </c>
      <c r="F259" s="130">
        <v>46365</v>
      </c>
      <c r="G259" s="131">
        <v>7</v>
      </c>
      <c r="H259" s="132">
        <v>2</v>
      </c>
      <c r="I259" s="122" t="s">
        <v>644</v>
      </c>
      <c r="J259" s="122" t="s"/>
      <c r="K259" s="122" t="s">
        <v>639</v>
      </c>
      <c r="L259" s="134">
        <v>0</v>
      </c>
    </row>
    <row r="260" spans="1:12" ht="20" customHeight="1">
      <c r="A260" s="129" t="s">
        <v>1181</v>
      </c>
      <c r="B260" s="122" t="s">
        <v>1182</v>
      </c>
      <c r="C260" s="129">
        <v>3</v>
      </c>
      <c r="D260" s="129" t="s">
        <v>259</v>
      </c>
      <c r="E260" s="130">
        <v>46357</v>
      </c>
      <c r="F260" s="130">
        <v>46366</v>
      </c>
      <c r="G260" s="131">
        <v>8</v>
      </c>
      <c r="H260" s="132">
        <v>1</v>
      </c>
      <c r="I260" s="122" t="s">
        <v>644</v>
      </c>
      <c r="J260" s="122" t="s"/>
      <c r="K260" s="122" t="s">
        <v>639</v>
      </c>
      <c r="L260" s="134">
        <v>0</v>
      </c>
    </row>
    <row r="261" spans="1:12" ht="20" customHeight="1">
      <c r="A261" s="124" t="s">
        <v>1183</v>
      </c>
      <c r="B261" s="125" t="s">
        <v>1184</v>
      </c>
      <c r="C261" s="124">
        <v>2</v>
      </c>
      <c r="D261" s="124" t="s">
        <v>638</v>
      </c>
      <c r="E261" s="126">
        <v>46288</v>
      </c>
      <c r="F261" s="126">
        <v>46373</v>
      </c>
      <c r="G261" s="127">
        <v>56</v>
      </c>
      <c r="H261" s="128" t="s"/>
      <c r="I261" s="125" t="s"/>
      <c r="J261" s="125" t="s"/>
      <c r="K261" s="122" t="s">
        <v>639</v>
      </c>
      <c r="L261" s="134">
        <v>0</v>
      </c>
    </row>
    <row r="262" spans="1:12" ht="20" customHeight="1">
      <c r="A262" s="129" t="s">
        <v>1185</v>
      </c>
      <c r="B262" s="122" t="s">
        <v>1186</v>
      </c>
      <c r="C262" s="129">
        <v>3</v>
      </c>
      <c r="D262" s="129" t="s">
        <v>596</v>
      </c>
      <c r="E262" s="130">
        <v>46288</v>
      </c>
      <c r="F262" s="130">
        <v>46304</v>
      </c>
      <c r="G262" s="131">
        <v>7</v>
      </c>
      <c r="H262" s="132">
        <v>0.25</v>
      </c>
      <c r="I262" s="122" t="s">
        <v>657</v>
      </c>
      <c r="J262" s="122" t="s"/>
      <c r="K262" s="122" t="s">
        <v>639</v>
      </c>
      <c r="L262" s="134">
        <v>0</v>
      </c>
    </row>
    <row r="263" spans="1:12" ht="20" customHeight="1">
      <c r="A263" s="129" t="s">
        <v>1187</v>
      </c>
      <c r="B263" s="122" t="s">
        <v>1188</v>
      </c>
      <c r="C263" s="129">
        <v>3</v>
      </c>
      <c r="D263" s="129" t="s">
        <v>596</v>
      </c>
      <c r="E263" s="130">
        <v>46365</v>
      </c>
      <c r="F263" s="130">
        <v>46367</v>
      </c>
      <c r="G263" s="131">
        <v>3</v>
      </c>
      <c r="H263" s="132">
        <v>0.25</v>
      </c>
      <c r="I263" s="122" t="s">
        <v>644</v>
      </c>
      <c r="J263" s="122" t="s"/>
      <c r="K263" s="122" t="s">
        <v>639</v>
      </c>
      <c r="L263" s="134">
        <v>0</v>
      </c>
    </row>
    <row r="264" spans="1:12" ht="20" customHeight="1">
      <c r="A264" s="129" t="s">
        <v>1189</v>
      </c>
      <c r="B264" s="122" t="s">
        <v>1190</v>
      </c>
      <c r="C264" s="129">
        <v>3</v>
      </c>
      <c r="D264" s="129" t="s">
        <v>596</v>
      </c>
      <c r="E264" s="130">
        <v>46365</v>
      </c>
      <c r="F264" s="130">
        <v>46367</v>
      </c>
      <c r="G264" s="131">
        <v>3</v>
      </c>
      <c r="H264" s="132">
        <v>0.5</v>
      </c>
      <c r="I264" s="122" t="s">
        <v>644</v>
      </c>
      <c r="J264" s="122" t="s"/>
      <c r="K264" s="122" t="s">
        <v>639</v>
      </c>
      <c r="L264" s="135">
        <v>0</v>
      </c>
    </row>
    <row r="265" spans="1:12" ht="20" customHeight="1">
      <c r="A265" s="129" t="s">
        <v>1191</v>
      </c>
      <c r="B265" s="122" t="s">
        <v>1192</v>
      </c>
      <c r="C265" s="129">
        <v>3</v>
      </c>
      <c r="D265" s="129" t="s">
        <v>596</v>
      </c>
      <c r="E265" s="130">
        <v>46371</v>
      </c>
      <c r="F265" s="130">
        <v>46372</v>
      </c>
      <c r="G265" s="131">
        <v>2</v>
      </c>
      <c r="H265" s="132">
        <v>0.5</v>
      </c>
      <c r="I265" s="122" t="s">
        <v>644</v>
      </c>
      <c r="J265" s="122" t="s">
        <v>1193</v>
      </c>
      <c r="K265" s="122" t="s">
        <v>639</v>
      </c>
      <c r="L265" s="134">
        <v>0</v>
      </c>
    </row>
    <row r="266" spans="1:12" ht="20" customHeight="1">
      <c r="A266" s="129" t="s">
        <v>1194</v>
      </c>
      <c r="B266" s="122" t="s">
        <v>1195</v>
      </c>
      <c r="C266" s="129">
        <v>3</v>
      </c>
      <c r="D266" s="129" t="s">
        <v>596</v>
      </c>
      <c r="E266" s="130">
        <v>46373</v>
      </c>
      <c r="F266" s="130">
        <v>46373</v>
      </c>
      <c r="G266" s="131">
        <v>1</v>
      </c>
      <c r="H266" s="132">
        <v>0.5</v>
      </c>
      <c r="I266" s="122" t="s">
        <v>657</v>
      </c>
      <c r="J266" s="122" t="s">
        <v>1191</v>
      </c>
      <c r="K266" s="122" t="s">
        <v>639</v>
      </c>
      <c r="L266" s="134">
        <v>0</v>
      </c>
    </row>
    <row r="267" spans="1:12" ht="20" customHeight="1">
      <c r="A267" s="129" t="s">
        <v>1196</v>
      </c>
      <c r="B267" s="122" t="s">
        <v>1197</v>
      </c>
      <c r="C267" s="129">
        <v>3</v>
      </c>
      <c r="D267" s="129" t="s">
        <v>252</v>
      </c>
      <c r="E267" s="130">
        <v>46352</v>
      </c>
      <c r="F267" s="130">
        <v>46357</v>
      </c>
      <c r="G267" s="131">
        <v>4</v>
      </c>
      <c r="H267" s="132">
        <v>1.5</v>
      </c>
      <c r="I267" s="122" t="s">
        <v>644</v>
      </c>
      <c r="J267" s="122" t="s">
        <v>1185</v>
      </c>
      <c r="K267" s="122" t="s">
        <v>639</v>
      </c>
      <c r="L267" s="134">
        <v>0</v>
      </c>
    </row>
    <row r="268" spans="1:12" ht="20" customHeight="1">
      <c r="A268" s="129" t="s">
        <v>1198</v>
      </c>
      <c r="B268" s="122" t="s">
        <v>1199</v>
      </c>
      <c r="C268" s="129">
        <v>3</v>
      </c>
      <c r="D268" s="129" t="s">
        <v>259</v>
      </c>
      <c r="E268" s="130">
        <v>46357</v>
      </c>
      <c r="F268" s="130">
        <v>46366</v>
      </c>
      <c r="G268" s="131">
        <v>8</v>
      </c>
      <c r="H268" s="132">
        <v>0.5</v>
      </c>
      <c r="I268" s="122" t="s">
        <v>644</v>
      </c>
      <c r="J268" s="122" t="s">
        <v>1185</v>
      </c>
      <c r="K268" s="122" t="s">
        <v>639</v>
      </c>
      <c r="L268" s="134">
        <v>0</v>
      </c>
    </row>
    <row r="269" spans="1:12" ht="20" customHeight="1">
      <c r="A269" s="129" t="s">
        <v>1200</v>
      </c>
      <c r="B269" s="122" t="s">
        <v>1201</v>
      </c>
      <c r="C269" s="129">
        <v>3</v>
      </c>
      <c r="D269" s="129" t="s">
        <v>259</v>
      </c>
      <c r="E269" s="130">
        <v>46357</v>
      </c>
      <c r="F269" s="130">
        <v>46367</v>
      </c>
      <c r="G269" s="131">
        <v>9</v>
      </c>
      <c r="H269" s="132">
        <v>1</v>
      </c>
      <c r="I269" s="122" t="s">
        <v>644</v>
      </c>
      <c r="J269" s="122" t="s">
        <v>1185</v>
      </c>
      <c r="K269" s="122" t="s">
        <v>639</v>
      </c>
      <c r="L269" s="134">
        <v>0</v>
      </c>
    </row>
    <row r="270" spans="1:12" ht="20" customHeight="1">
      <c r="A270" s="129" t="s">
        <v>1202</v>
      </c>
      <c r="B270" s="122" t="s">
        <v>1203</v>
      </c>
      <c r="C270" s="129">
        <v>3</v>
      </c>
      <c r="D270" s="129" t="s">
        <v>259</v>
      </c>
      <c r="E270" s="130">
        <v>46357</v>
      </c>
      <c r="F270" s="130">
        <v>46370</v>
      </c>
      <c r="G270" s="131">
        <v>10</v>
      </c>
      <c r="H270" s="132">
        <v>0.25</v>
      </c>
      <c r="I270" s="122" t="s">
        <v>644</v>
      </c>
      <c r="J270" s="122" t="s">
        <v>1185</v>
      </c>
      <c r="K270" s="122" t="s">
        <v>639</v>
      </c>
      <c r="L270" s="134">
        <v>0</v>
      </c>
    </row>
    <row r="271" spans="1:12" ht="20" customHeight="1">
      <c r="A271" s="124" t="s">
        <v>1204</v>
      </c>
      <c r="B271" s="125" t="s">
        <v>1205</v>
      </c>
      <c r="C271" s="124">
        <v>2</v>
      </c>
      <c r="D271" s="124" t="s">
        <v>1038</v>
      </c>
      <c r="E271" s="126">
        <v>46357</v>
      </c>
      <c r="F271" s="126">
        <v>46374</v>
      </c>
      <c r="G271" s="127">
        <v>14</v>
      </c>
      <c r="H271" s="128" t="s"/>
      <c r="I271" s="125" t="s"/>
      <c r="J271" s="125" t="s"/>
      <c r="K271" s="122" t="s">
        <v>639</v>
      </c>
      <c r="L271" s="134">
        <v>0</v>
      </c>
    </row>
    <row r="272" spans="1:12" ht="20" customHeight="1">
      <c r="A272" s="129" t="s">
        <v>1206</v>
      </c>
      <c r="B272" s="122" t="s">
        <v>1207</v>
      </c>
      <c r="C272" s="129">
        <v>3</v>
      </c>
      <c r="D272" s="129" t="s">
        <v>596</v>
      </c>
      <c r="E272" s="130">
        <v>46370</v>
      </c>
      <c r="F272" s="130">
        <v>46371</v>
      </c>
      <c r="G272" s="131">
        <v>2</v>
      </c>
      <c r="H272" s="132">
        <v>0.5</v>
      </c>
      <c r="I272" s="122" t="s">
        <v>644</v>
      </c>
      <c r="J272" s="122" t="s"/>
      <c r="K272" s="122" t="s">
        <v>639</v>
      </c>
      <c r="L272" s="134">
        <v>0</v>
      </c>
    </row>
    <row r="273" spans="1:12" ht="20" customHeight="1">
      <c r="A273" s="129" t="s">
        <v>1208</v>
      </c>
      <c r="B273" s="122" t="s">
        <v>1209</v>
      </c>
      <c r="C273" s="129">
        <v>3</v>
      </c>
      <c r="D273" s="129" t="s">
        <v>596</v>
      </c>
      <c r="E273" s="130">
        <v>46372</v>
      </c>
      <c r="F273" s="130">
        <v>46373</v>
      </c>
      <c r="G273" s="131">
        <v>2</v>
      </c>
      <c r="H273" s="132">
        <v>0.25</v>
      </c>
      <c r="I273" s="122" t="s">
        <v>644</v>
      </c>
      <c r="J273" s="122" t="s">
        <v>1210</v>
      </c>
      <c r="K273" s="122" t="s">
        <v>639</v>
      </c>
      <c r="L273" s="134">
        <v>0</v>
      </c>
    </row>
    <row r="274" spans="1:12" ht="20" customHeight="1">
      <c r="A274" s="129" t="s">
        <v>1211</v>
      </c>
      <c r="B274" s="122" t="s">
        <v>1212</v>
      </c>
      <c r="C274" s="129">
        <v>3</v>
      </c>
      <c r="D274" s="129" t="s">
        <v>596</v>
      </c>
      <c r="E274" s="130">
        <v>46374</v>
      </c>
      <c r="F274" s="130">
        <v>46374</v>
      </c>
      <c r="G274" s="131">
        <v>1</v>
      </c>
      <c r="H274" s="132">
        <v>0.25</v>
      </c>
      <c r="I274" s="122" t="s">
        <v>657</v>
      </c>
      <c r="J274" s="122" t="s">
        <v>1208</v>
      </c>
      <c r="K274" s="122" t="s">
        <v>639</v>
      </c>
      <c r="L274" s="135">
        <v>0</v>
      </c>
    </row>
    <row r="275" spans="1:12" ht="20" customHeight="1">
      <c r="A275" s="129" t="s">
        <v>1213</v>
      </c>
      <c r="B275" s="122" t="s">
        <v>1214</v>
      </c>
      <c r="C275" s="129">
        <v>3</v>
      </c>
      <c r="D275" s="129" t="s">
        <v>259</v>
      </c>
      <c r="E275" s="130">
        <v>46357</v>
      </c>
      <c r="F275" s="130">
        <v>46370</v>
      </c>
      <c r="G275" s="131">
        <v>10</v>
      </c>
      <c r="H275" s="132">
        <v>0.75</v>
      </c>
      <c r="I275" s="122" t="s">
        <v>644</v>
      </c>
      <c r="J275" s="122" t="s"/>
      <c r="K275" s="122" t="s">
        <v>639</v>
      </c>
      <c r="L275" s="134">
        <v>0</v>
      </c>
    </row>
    <row r="276" spans="1:12" ht="20" customHeight="1">
      <c r="A276" s="129" t="s">
        <v>1215</v>
      </c>
      <c r="B276" s="122" t="s">
        <v>1216</v>
      </c>
      <c r="C276" s="129">
        <v>3</v>
      </c>
      <c r="D276" s="129" t="s">
        <v>259</v>
      </c>
      <c r="E276" s="130">
        <v>46357</v>
      </c>
      <c r="F276" s="130">
        <v>46371</v>
      </c>
      <c r="G276" s="131">
        <v>11</v>
      </c>
      <c r="H276" s="132">
        <v>0.5</v>
      </c>
      <c r="I276" s="122" t="s">
        <v>644</v>
      </c>
      <c r="J276" s="122" t="s"/>
      <c r="K276" s="122" t="s">
        <v>639</v>
      </c>
      <c r="L276" s="134">
        <v>0</v>
      </c>
    </row>
    <row r="277" spans="1:12" ht="20" customHeight="1">
      <c r="A277" s="124" t="s">
        <v>1217</v>
      </c>
      <c r="B277" s="125" t="s">
        <v>1218</v>
      </c>
      <c r="C277" s="124">
        <v>2</v>
      </c>
      <c r="D277" s="124" t="s">
        <v>638</v>
      </c>
      <c r="E277" s="126">
        <v>46352</v>
      </c>
      <c r="F277" s="126">
        <v>46377</v>
      </c>
      <c r="G277" s="127">
        <v>18</v>
      </c>
      <c r="H277" s="128" t="s"/>
      <c r="I277" s="125" t="s"/>
      <c r="J277" s="125" t="s"/>
      <c r="K277" s="122" t="s">
        <v>639</v>
      </c>
      <c r="L277" s="134">
        <v>0</v>
      </c>
    </row>
    <row r="278" spans="1:12" ht="20" customHeight="1">
      <c r="A278" s="129" t="s">
        <v>1219</v>
      </c>
      <c r="B278" s="122" t="s">
        <v>1220</v>
      </c>
      <c r="C278" s="129">
        <v>3</v>
      </c>
      <c r="D278" s="129" t="s">
        <v>596</v>
      </c>
      <c r="E278" s="130">
        <v>46371</v>
      </c>
      <c r="F278" s="130">
        <v>46372</v>
      </c>
      <c r="G278" s="131">
        <v>2</v>
      </c>
      <c r="H278" s="132">
        <v>0.5</v>
      </c>
      <c r="I278" s="122" t="s">
        <v>644</v>
      </c>
      <c r="J278" s="122" t="s"/>
      <c r="K278" s="122" t="s">
        <v>639</v>
      </c>
      <c r="L278" s="134">
        <v>0</v>
      </c>
    </row>
    <row r="279" spans="1:12" ht="27" customHeight="1">
      <c r="A279" s="129" t="s">
        <v>1221</v>
      </c>
      <c r="B279" s="122" t="s">
        <v>1222</v>
      </c>
      <c r="C279" s="129">
        <v>3</v>
      </c>
      <c r="D279" s="129" t="s">
        <v>596</v>
      </c>
      <c r="E279" s="130">
        <v>46373</v>
      </c>
      <c r="F279" s="130">
        <v>46374</v>
      </c>
      <c r="G279" s="131">
        <v>2</v>
      </c>
      <c r="H279" s="132">
        <v>0.25</v>
      </c>
      <c r="I279" s="122" t="s">
        <v>644</v>
      </c>
      <c r="J279" s="122" t="s">
        <v>1223</v>
      </c>
      <c r="K279" s="122" t="s">
        <v>639</v>
      </c>
      <c r="L279" s="134">
        <v>0</v>
      </c>
    </row>
    <row r="280" spans="1:12" ht="20" customHeight="1">
      <c r="A280" s="129" t="s">
        <v>1224</v>
      </c>
      <c r="B280" s="122" t="s">
        <v>1225</v>
      </c>
      <c r="C280" s="129">
        <v>3</v>
      </c>
      <c r="D280" s="129" t="s">
        <v>596</v>
      </c>
      <c r="E280" s="130">
        <v>46377</v>
      </c>
      <c r="F280" s="130">
        <v>46377</v>
      </c>
      <c r="G280" s="131">
        <v>1</v>
      </c>
      <c r="H280" s="132">
        <v>0.25</v>
      </c>
      <c r="I280" s="122" t="s">
        <v>657</v>
      </c>
      <c r="J280" s="122" t="s">
        <v>1221</v>
      </c>
      <c r="K280" s="122" t="s">
        <v>639</v>
      </c>
      <c r="L280" s="134">
        <v>0</v>
      </c>
    </row>
    <row r="281" spans="1:12" ht="20" customHeight="1">
      <c r="A281" s="129" t="s">
        <v>1226</v>
      </c>
      <c r="B281" s="122" t="s">
        <v>1227</v>
      </c>
      <c r="C281" s="129">
        <v>3</v>
      </c>
      <c r="D281" s="129" t="s">
        <v>252</v>
      </c>
      <c r="E281" s="130">
        <v>46352</v>
      </c>
      <c r="F281" s="130">
        <v>46357</v>
      </c>
      <c r="G281" s="131">
        <v>4</v>
      </c>
      <c r="H281" s="132">
        <v>0.5</v>
      </c>
      <c r="I281" s="122" t="s">
        <v>644</v>
      </c>
      <c r="J281" s="122" t="s"/>
      <c r="K281" s="122" t="s">
        <v>639</v>
      </c>
      <c r="L281" s="134">
        <v>0</v>
      </c>
    </row>
    <row r="282" spans="1:12" ht="20" customHeight="1">
      <c r="A282" s="129" t="s">
        <v>1228</v>
      </c>
      <c r="B282" s="122" t="s">
        <v>1229</v>
      </c>
      <c r="C282" s="129">
        <v>3</v>
      </c>
      <c r="D282" s="129" t="s">
        <v>259</v>
      </c>
      <c r="E282" s="130">
        <v>46357</v>
      </c>
      <c r="F282" s="130">
        <v>46372</v>
      </c>
      <c r="G282" s="131">
        <v>12</v>
      </c>
      <c r="H282" s="132">
        <v>0.75</v>
      </c>
      <c r="I282" s="122" t="s">
        <v>644</v>
      </c>
      <c r="J282" s="122" t="s"/>
      <c r="K282" s="122" t="s">
        <v>639</v>
      </c>
      <c r="L282" s="134">
        <v>0</v>
      </c>
    </row>
    <row r="283" spans="1:12" ht="20" customHeight="1">
      <c r="A283" s="129" t="s">
        <v>1230</v>
      </c>
      <c r="B283" s="122" t="s">
        <v>1231</v>
      </c>
      <c r="C283" s="129">
        <v>3</v>
      </c>
      <c r="D283" s="129" t="s">
        <v>259</v>
      </c>
      <c r="E283" s="130">
        <v>46357</v>
      </c>
      <c r="F283" s="130">
        <v>46372</v>
      </c>
      <c r="G283" s="131">
        <v>12</v>
      </c>
      <c r="H283" s="132">
        <v>0.25</v>
      </c>
      <c r="I283" s="122" t="s">
        <v>644</v>
      </c>
      <c r="J283" s="122" t="s"/>
      <c r="K283" s="122" t="s">
        <v>639</v>
      </c>
      <c r="L283" s="134">
        <v>0</v>
      </c>
    </row>
    <row r="284" spans="1:12" ht="20" customHeight="1">
      <c r="A284" s="117" t="s">
        <v>1232</v>
      </c>
      <c r="B284" s="118" t="s">
        <v>1233</v>
      </c>
      <c r="C284" s="117">
        <v>1</v>
      </c>
      <c r="D284" s="117" t="s">
        <v>638</v>
      </c>
      <c r="E284" s="119">
        <v>46339</v>
      </c>
      <c r="F284" s="119">
        <v>46385</v>
      </c>
      <c r="G284" s="120">
        <v>33</v>
      </c>
      <c r="H284" s="121" t="s"/>
      <c r="I284" s="118" t="s"/>
      <c r="J284" s="118" t="s"/>
      <c r="K284" s="122" t="s">
        <v>639</v>
      </c>
      <c r="L284" s="135">
        <v>0</v>
      </c>
    </row>
    <row r="285" spans="1:12" ht="20" customHeight="1">
      <c r="A285" s="124" t="s">
        <v>1234</v>
      </c>
      <c r="B285" s="125" t="s">
        <v>1235</v>
      </c>
      <c r="C285" s="124">
        <v>2</v>
      </c>
      <c r="D285" s="124" t="s">
        <v>638</v>
      </c>
      <c r="E285" s="126">
        <v>46339</v>
      </c>
      <c r="F285" s="126">
        <v>46385</v>
      </c>
      <c r="G285" s="127">
        <v>33</v>
      </c>
      <c r="H285" s="128" t="s"/>
      <c r="I285" s="125" t="s"/>
      <c r="J285" s="125" t="s"/>
      <c r="K285" s="122" t="s">
        <v>639</v>
      </c>
      <c r="L285" s="134">
        <v>0</v>
      </c>
    </row>
    <row r="286" spans="1:12" ht="20" customHeight="1">
      <c r="A286" s="129" t="s">
        <v>1236</v>
      </c>
      <c r="B286" s="122" t="s">
        <v>1237</v>
      </c>
      <c r="C286" s="129">
        <v>3</v>
      </c>
      <c r="D286" s="129" t="s">
        <v>596</v>
      </c>
      <c r="E286" s="130">
        <v>46339</v>
      </c>
      <c r="F286" s="130">
        <v>46343</v>
      </c>
      <c r="G286" s="131">
        <v>3</v>
      </c>
      <c r="H286" s="132">
        <v>0.25</v>
      </c>
      <c r="I286" s="122" t="s">
        <v>657</v>
      </c>
      <c r="J286" s="122" t="s">
        <v>642</v>
      </c>
      <c r="K286" s="122" t="s">
        <v>639</v>
      </c>
      <c r="L286" s="134">
        <v>0</v>
      </c>
    </row>
    <row r="287" spans="1:12" ht="20" customHeight="1">
      <c r="A287" s="129" t="s">
        <v>1238</v>
      </c>
      <c r="B287" s="122" t="s">
        <v>1239</v>
      </c>
      <c r="C287" s="129">
        <v>3</v>
      </c>
      <c r="D287" s="129" t="s">
        <v>596</v>
      </c>
      <c r="E287" s="130">
        <v>46339</v>
      </c>
      <c r="F287" s="130">
        <v>46343</v>
      </c>
      <c r="G287" s="131">
        <v>3</v>
      </c>
      <c r="H287" s="132">
        <v>0.5</v>
      </c>
      <c r="I287" s="122" t="s">
        <v>644</v>
      </c>
      <c r="J287" s="122" t="s"/>
      <c r="K287" s="122" t="s">
        <v>639</v>
      </c>
      <c r="L287" s="134">
        <v>0</v>
      </c>
    </row>
    <row r="288" spans="1:12" ht="20" customHeight="1">
      <c r="A288" s="129" t="s">
        <v>1240</v>
      </c>
      <c r="B288" s="122" t="s">
        <v>1241</v>
      </c>
      <c r="C288" s="129">
        <v>3</v>
      </c>
      <c r="D288" s="129" t="s">
        <v>596</v>
      </c>
      <c r="E288" s="130">
        <v>46339</v>
      </c>
      <c r="F288" s="130">
        <v>46344</v>
      </c>
      <c r="G288" s="131">
        <v>4</v>
      </c>
      <c r="H288" s="132">
        <v>0.5</v>
      </c>
      <c r="I288" s="122" t="s">
        <v>644</v>
      </c>
      <c r="J288" s="122" t="s"/>
      <c r="K288" s="122" t="s">
        <v>639</v>
      </c>
      <c r="L288" s="134">
        <v>0</v>
      </c>
    </row>
    <row r="289" spans="1:12" ht="20" customHeight="1">
      <c r="A289" s="129" t="s">
        <v>1242</v>
      </c>
      <c r="B289" s="122" t="s">
        <v>1243</v>
      </c>
      <c r="C289" s="129">
        <v>3</v>
      </c>
      <c r="D289" s="129" t="s">
        <v>596</v>
      </c>
      <c r="E289" s="130">
        <v>46339</v>
      </c>
      <c r="F289" s="130">
        <v>46345</v>
      </c>
      <c r="G289" s="131">
        <v>5</v>
      </c>
      <c r="H289" s="132">
        <v>0.75</v>
      </c>
      <c r="I289" s="122" t="s">
        <v>644</v>
      </c>
      <c r="J289" s="122" t="s"/>
      <c r="K289" s="122" t="s">
        <v>639</v>
      </c>
      <c r="L289" s="134">
        <v>0</v>
      </c>
    </row>
    <row r="290" spans="1:12" ht="20" customHeight="1">
      <c r="A290" s="129" t="s">
        <v>1244</v>
      </c>
      <c r="B290" s="122" t="s">
        <v>1245</v>
      </c>
      <c r="C290" s="129">
        <v>3</v>
      </c>
      <c r="D290" s="129" t="s">
        <v>596</v>
      </c>
      <c r="E290" s="130">
        <v>46339</v>
      </c>
      <c r="F290" s="130">
        <v>46345</v>
      </c>
      <c r="G290" s="131">
        <v>5</v>
      </c>
      <c r="H290" s="132">
        <v>0.25</v>
      </c>
      <c r="I290" s="122" t="s">
        <v>644</v>
      </c>
      <c r="J290" s="122" t="s"/>
      <c r="K290" s="122" t="s">
        <v>639</v>
      </c>
      <c r="L290" s="134">
        <v>0</v>
      </c>
    </row>
    <row r="291" spans="1:12" ht="20" customHeight="1">
      <c r="A291" s="129" t="s">
        <v>1246</v>
      </c>
      <c r="B291" s="122" t="s">
        <v>1247</v>
      </c>
      <c r="C291" s="129">
        <v>3</v>
      </c>
      <c r="D291" s="129" t="s">
        <v>596</v>
      </c>
      <c r="E291" s="130">
        <v>46381</v>
      </c>
      <c r="F291" s="130">
        <v>46381</v>
      </c>
      <c r="G291" s="131">
        <v>1</v>
      </c>
      <c r="H291" s="132">
        <v>0.5</v>
      </c>
      <c r="I291" s="122" t="s">
        <v>644</v>
      </c>
      <c r="J291" s="122" t="s">
        <v>1248</v>
      </c>
      <c r="K291" s="122" t="s">
        <v>639</v>
      </c>
      <c r="L291" s="134">
        <v>0</v>
      </c>
    </row>
    <row r="292" spans="1:12" ht="20" customHeight="1">
      <c r="A292" s="129" t="s">
        <v>1249</v>
      </c>
      <c r="B292" s="122" t="s">
        <v>1250</v>
      </c>
      <c r="C292" s="129">
        <v>3</v>
      </c>
      <c r="D292" s="129" t="s">
        <v>252</v>
      </c>
      <c r="E292" s="130">
        <v>46358</v>
      </c>
      <c r="F292" s="130">
        <v>46359</v>
      </c>
      <c r="G292" s="131">
        <v>2</v>
      </c>
      <c r="H292" s="132">
        <v>1.5</v>
      </c>
      <c r="I292" s="122" t="s">
        <v>644</v>
      </c>
      <c r="J292" s="122" t="s">
        <v>1226</v>
      </c>
      <c r="K292" s="122" t="s">
        <v>639</v>
      </c>
      <c r="L292" s="134">
        <v>0</v>
      </c>
    </row>
    <row r="293" spans="1:12" ht="20" customHeight="1">
      <c r="A293" s="129" t="s">
        <v>1251</v>
      </c>
      <c r="B293" s="122" t="s">
        <v>1252</v>
      </c>
      <c r="C293" s="129">
        <v>3</v>
      </c>
      <c r="D293" s="129" t="s">
        <v>252</v>
      </c>
      <c r="E293" s="130">
        <v>46358</v>
      </c>
      <c r="F293" s="130">
        <v>46360</v>
      </c>
      <c r="G293" s="131">
        <v>3</v>
      </c>
      <c r="H293" s="132">
        <v>1</v>
      </c>
      <c r="I293" s="122" t="s">
        <v>644</v>
      </c>
      <c r="J293" s="122" t="s">
        <v>1226</v>
      </c>
      <c r="K293" s="122" t="s">
        <v>639</v>
      </c>
      <c r="L293" s="134">
        <v>0</v>
      </c>
    </row>
    <row r="294" spans="1:12" ht="20" customHeight="1">
      <c r="A294" s="129" t="s">
        <v>1253</v>
      </c>
      <c r="B294" s="122" t="s">
        <v>1254</v>
      </c>
      <c r="C294" s="129">
        <v>3</v>
      </c>
      <c r="D294" s="129" t="s">
        <v>252</v>
      </c>
      <c r="E294" s="130">
        <v>46358</v>
      </c>
      <c r="F294" s="130">
        <v>46360</v>
      </c>
      <c r="G294" s="131">
        <v>3</v>
      </c>
      <c r="H294" s="132">
        <v>0.5</v>
      </c>
      <c r="I294" s="122" t="s">
        <v>681</v>
      </c>
      <c r="J294" s="122" t="s">
        <v>1226</v>
      </c>
      <c r="K294" s="122" t="s">
        <v>639</v>
      </c>
      <c r="L294" s="135">
        <v>0</v>
      </c>
    </row>
    <row r="295" spans="1:12" ht="20" customHeight="1">
      <c r="A295" s="129" t="s">
        <v>1255</v>
      </c>
      <c r="B295" s="122" t="s">
        <v>1256</v>
      </c>
      <c r="C295" s="129">
        <v>3</v>
      </c>
      <c r="D295" s="129" t="s">
        <v>259</v>
      </c>
      <c r="E295" s="130">
        <v>46373</v>
      </c>
      <c r="F295" s="130">
        <v>46380</v>
      </c>
      <c r="G295" s="131">
        <v>6</v>
      </c>
      <c r="H295" s="132">
        <v>1.5</v>
      </c>
      <c r="I295" s="122" t="s">
        <v>644</v>
      </c>
      <c r="J295" s="122" t="s">
        <v>1230</v>
      </c>
      <c r="K295" s="122" t="s">
        <v>639</v>
      </c>
      <c r="L295" s="134">
        <v>0</v>
      </c>
    </row>
    <row r="296" spans="1:12" ht="20" customHeight="1">
      <c r="A296" s="129" t="s">
        <v>1257</v>
      </c>
      <c r="B296" s="122" t="s">
        <v>1258</v>
      </c>
      <c r="C296" s="129">
        <v>3</v>
      </c>
      <c r="D296" s="129" t="s">
        <v>259</v>
      </c>
      <c r="E296" s="130">
        <v>46373</v>
      </c>
      <c r="F296" s="130">
        <v>46381</v>
      </c>
      <c r="G296" s="131">
        <v>7</v>
      </c>
      <c r="H296" s="132">
        <v>1</v>
      </c>
      <c r="I296" s="122" t="s">
        <v>644</v>
      </c>
      <c r="J296" s="122" t="s">
        <v>1230</v>
      </c>
      <c r="K296" s="122" t="s">
        <v>639</v>
      </c>
      <c r="L296" s="134">
        <v>0</v>
      </c>
    </row>
    <row r="297" spans="1:12" ht="20" customHeight="1">
      <c r="A297" s="129" t="s">
        <v>1259</v>
      </c>
      <c r="B297" s="122" t="s">
        <v>1260</v>
      </c>
      <c r="C297" s="129">
        <v>3</v>
      </c>
      <c r="D297" s="129" t="s">
        <v>259</v>
      </c>
      <c r="E297" s="130">
        <v>46373</v>
      </c>
      <c r="F297" s="130">
        <v>46384</v>
      </c>
      <c r="G297" s="131">
        <v>8</v>
      </c>
      <c r="H297" s="132">
        <v>0.75</v>
      </c>
      <c r="I297" s="122" t="s">
        <v>681</v>
      </c>
      <c r="J297" s="122" t="s">
        <v>1230</v>
      </c>
      <c r="K297" s="122" t="s">
        <v>639</v>
      </c>
      <c r="L297" s="134">
        <v>0</v>
      </c>
    </row>
    <row r="298" spans="1:12" ht="20" customHeight="1">
      <c r="A298" s="129" t="s">
        <v>1261</v>
      </c>
      <c r="B298" s="122" t="s">
        <v>1262</v>
      </c>
      <c r="C298" s="129">
        <v>3</v>
      </c>
      <c r="D298" s="129" t="s">
        <v>259</v>
      </c>
      <c r="E298" s="130">
        <v>46373</v>
      </c>
      <c r="F298" s="130">
        <v>46385</v>
      </c>
      <c r="G298" s="131">
        <v>9</v>
      </c>
      <c r="H298" s="132">
        <v>1</v>
      </c>
      <c r="I298" s="122" t="s">
        <v>1263</v>
      </c>
      <c r="J298" s="122" t="s">
        <v>1230</v>
      </c>
      <c r="K298" s="122" t="s">
        <v>639</v>
      </c>
      <c r="L298" s="134">
        <v>0</v>
      </c>
    </row>
    <row r="299" spans="1:12" ht="20" customHeight="1">
      <c r="A299" s="117" t="s">
        <v>1264</v>
      </c>
      <c r="B299" s="118" t="s">
        <v>1265</v>
      </c>
      <c r="C299" s="117">
        <v>1</v>
      </c>
      <c r="D299" s="117" t="s">
        <v>638</v>
      </c>
      <c r="E299" s="119">
        <v>46342</v>
      </c>
      <c r="F299" s="119">
        <v>46379</v>
      </c>
      <c r="G299" s="120">
        <v>28</v>
      </c>
      <c r="H299" s="121" t="s"/>
      <c r="I299" s="118" t="s"/>
      <c r="J299" s="118" t="s"/>
      <c r="K299" s="122" t="s">
        <v>639</v>
      </c>
      <c r="L299" s="134">
        <v>0</v>
      </c>
    </row>
    <row r="300" spans="1:12" ht="20" customHeight="1">
      <c r="A300" s="124" t="s">
        <v>1266</v>
      </c>
      <c r="B300" s="125" t="s">
        <v>1267</v>
      </c>
      <c r="C300" s="124">
        <v>2</v>
      </c>
      <c r="D300" s="124" t="s">
        <v>638</v>
      </c>
      <c r="E300" s="126">
        <v>46342</v>
      </c>
      <c r="F300" s="126">
        <v>46379</v>
      </c>
      <c r="G300" s="127">
        <v>28</v>
      </c>
      <c r="H300" s="128" t="s"/>
      <c r="I300" s="125" t="s"/>
      <c r="J300" s="125" t="s"/>
      <c r="K300" s="122" t="s">
        <v>639</v>
      </c>
      <c r="L300" s="134">
        <v>0</v>
      </c>
    </row>
    <row r="301" spans="1:12" ht="20" customHeight="1">
      <c r="A301" s="129" t="s">
        <v>1268</v>
      </c>
      <c r="B301" s="122" t="s">
        <v>1269</v>
      </c>
      <c r="C301" s="129">
        <v>3</v>
      </c>
      <c r="D301" s="129" t="s">
        <v>596</v>
      </c>
      <c r="E301" s="130">
        <v>46351</v>
      </c>
      <c r="F301" s="130">
        <v>46351</v>
      </c>
      <c r="G301" s="131">
        <v>1</v>
      </c>
      <c r="H301" s="132">
        <v>0.25</v>
      </c>
      <c r="I301" s="122" t="s">
        <v>644</v>
      </c>
      <c r="J301" s="122" t="s">
        <v>1270</v>
      </c>
      <c r="K301" s="122" t="s">
        <v>639</v>
      </c>
      <c r="L301" s="134">
        <v>0</v>
      </c>
    </row>
    <row r="302" spans="1:12" ht="20" customHeight="1">
      <c r="A302" s="129" t="s">
        <v>1271</v>
      </c>
      <c r="B302" s="122" t="s">
        <v>1272</v>
      </c>
      <c r="C302" s="129">
        <v>3</v>
      </c>
      <c r="D302" s="129" t="s">
        <v>596</v>
      </c>
      <c r="E302" s="130">
        <v>46378</v>
      </c>
      <c r="F302" s="130">
        <v>46378</v>
      </c>
      <c r="G302" s="131">
        <v>1</v>
      </c>
      <c r="H302" s="132">
        <v>0.25</v>
      </c>
      <c r="I302" s="122" t="s">
        <v>644</v>
      </c>
      <c r="J302" s="122" t="s">
        <v>1273</v>
      </c>
      <c r="K302" s="122" t="s">
        <v>639</v>
      </c>
      <c r="L302" s="134">
        <v>0</v>
      </c>
    </row>
    <row r="303" spans="1:12" ht="20" customHeight="1">
      <c r="A303" s="129" t="s">
        <v>1274</v>
      </c>
      <c r="B303" s="122" t="s">
        <v>1275</v>
      </c>
      <c r="C303" s="129">
        <v>3</v>
      </c>
      <c r="D303" s="129" t="s">
        <v>596</v>
      </c>
      <c r="E303" s="130">
        <v>46379</v>
      </c>
      <c r="F303" s="130">
        <v>46379</v>
      </c>
      <c r="G303" s="131">
        <v>1</v>
      </c>
      <c r="H303" s="132">
        <v>0.25</v>
      </c>
      <c r="I303" s="122" t="s">
        <v>657</v>
      </c>
      <c r="J303" s="122" t="s">
        <v>1271</v>
      </c>
      <c r="K303" s="122" t="s">
        <v>639</v>
      </c>
      <c r="L303" s="134">
        <v>0</v>
      </c>
    </row>
    <row r="304" spans="1:12" ht="20" customHeight="1">
      <c r="A304" s="129" t="s">
        <v>1276</v>
      </c>
      <c r="B304" s="122" t="s">
        <v>1277</v>
      </c>
      <c r="C304" s="129">
        <v>3</v>
      </c>
      <c r="D304" s="129" t="s">
        <v>252</v>
      </c>
      <c r="E304" s="130">
        <v>46342</v>
      </c>
      <c r="F304" s="130">
        <v>46342</v>
      </c>
      <c r="G304" s="131">
        <v>1</v>
      </c>
      <c r="H304" s="132">
        <v>1</v>
      </c>
      <c r="I304" s="122" t="s">
        <v>644</v>
      </c>
      <c r="J304" s="122" t="s">
        <v>978</v>
      </c>
      <c r="K304" s="122" t="s">
        <v>639</v>
      </c>
      <c r="L304" s="134">
        <v>0</v>
      </c>
    </row>
    <row r="305" spans="1:12" ht="20" customHeight="1">
      <c r="A305" s="129" t="s">
        <v>1278</v>
      </c>
      <c r="B305" s="122" t="s">
        <v>1279</v>
      </c>
      <c r="C305" s="129">
        <v>3</v>
      </c>
      <c r="D305" s="129" t="s">
        <v>252</v>
      </c>
      <c r="E305" s="130">
        <v>46342</v>
      </c>
      <c r="F305" s="130">
        <v>46343</v>
      </c>
      <c r="G305" s="131">
        <v>2</v>
      </c>
      <c r="H305" s="132">
        <v>0.5</v>
      </c>
      <c r="I305" s="122" t="s">
        <v>644</v>
      </c>
      <c r="J305" s="122" t="s">
        <v>978</v>
      </c>
      <c r="K305" s="122" t="s">
        <v>639</v>
      </c>
      <c r="L305" s="134">
        <v>0</v>
      </c>
    </row>
    <row r="306" spans="1:12" ht="20" customHeight="1">
      <c r="A306" s="129" t="s">
        <v>1280</v>
      </c>
      <c r="B306" s="122" t="s">
        <v>1281</v>
      </c>
      <c r="C306" s="129">
        <v>3</v>
      </c>
      <c r="D306" s="129" t="s">
        <v>252</v>
      </c>
      <c r="E306" s="130">
        <v>46358</v>
      </c>
      <c r="F306" s="130">
        <v>46364</v>
      </c>
      <c r="G306" s="131">
        <v>5</v>
      </c>
      <c r="H306" s="132">
        <v>1.5</v>
      </c>
      <c r="I306" s="122" t="s">
        <v>644</v>
      </c>
      <c r="J306" s="122" t="s">
        <v>1226</v>
      </c>
      <c r="K306" s="122" t="s">
        <v>639</v>
      </c>
      <c r="L306" s="134">
        <v>0</v>
      </c>
    </row>
    <row r="307" spans="1:12" ht="20" customHeight="1">
      <c r="A307" s="129" t="s">
        <v>1282</v>
      </c>
      <c r="B307" s="122" t="s">
        <v>1283</v>
      </c>
      <c r="C307" s="129">
        <v>3</v>
      </c>
      <c r="D307" s="129" t="s">
        <v>252</v>
      </c>
      <c r="E307" s="130">
        <v>46358</v>
      </c>
      <c r="F307" s="130">
        <v>46365</v>
      </c>
      <c r="G307" s="131">
        <v>6</v>
      </c>
      <c r="H307" s="132">
        <v>1</v>
      </c>
      <c r="I307" s="122" t="s">
        <v>1263</v>
      </c>
      <c r="J307" s="122" t="s">
        <v>1226</v>
      </c>
      <c r="K307" s="122" t="s">
        <v>639</v>
      </c>
      <c r="L307" s="134">
        <v>0</v>
      </c>
    </row>
    <row r="308" spans="1:12" ht="20" customHeight="1">
      <c r="A308" s="129" t="s">
        <v>1284</v>
      </c>
      <c r="B308" s="122" t="s">
        <v>1285</v>
      </c>
      <c r="C308" s="129">
        <v>3</v>
      </c>
      <c r="D308" s="129" t="s">
        <v>259</v>
      </c>
      <c r="E308" s="130">
        <v>46345</v>
      </c>
      <c r="F308" s="130">
        <v>46346</v>
      </c>
      <c r="G308" s="131">
        <v>2</v>
      </c>
      <c r="H308" s="132">
        <v>1</v>
      </c>
      <c r="I308" s="122" t="s">
        <v>644</v>
      </c>
      <c r="J308" s="122" t="s">
        <v>984</v>
      </c>
      <c r="K308" s="122" t="s">
        <v>639</v>
      </c>
      <c r="L308" s="134">
        <v>0</v>
      </c>
    </row>
    <row r="309" spans="1:12" ht="20" customHeight="1">
      <c r="A309" s="129" t="s">
        <v>1286</v>
      </c>
      <c r="B309" s="122" t="s">
        <v>1287</v>
      </c>
      <c r="C309" s="129">
        <v>3</v>
      </c>
      <c r="D309" s="129" t="s">
        <v>259</v>
      </c>
      <c r="E309" s="130">
        <v>46345</v>
      </c>
      <c r="F309" s="130">
        <v>46346</v>
      </c>
      <c r="G309" s="131">
        <v>2</v>
      </c>
      <c r="H309" s="132">
        <v>0.5</v>
      </c>
      <c r="I309" s="122" t="s">
        <v>644</v>
      </c>
      <c r="J309" s="122" t="s">
        <v>984</v>
      </c>
      <c r="K309" s="122" t="s">
        <v>639</v>
      </c>
      <c r="L309" s="134">
        <v>0</v>
      </c>
    </row>
    <row r="310" spans="1:12" ht="20" customHeight="1">
      <c r="A310" s="129" t="s">
        <v>1288</v>
      </c>
      <c r="B310" s="122" t="s">
        <v>1289</v>
      </c>
      <c r="C310" s="129">
        <v>3</v>
      </c>
      <c r="D310" s="129" t="s">
        <v>259</v>
      </c>
      <c r="E310" s="130">
        <v>46373</v>
      </c>
      <c r="F310" s="130">
        <v>46374</v>
      </c>
      <c r="G310" s="131">
        <v>2</v>
      </c>
      <c r="H310" s="132">
        <v>1.5</v>
      </c>
      <c r="I310" s="122" t="s">
        <v>644</v>
      </c>
      <c r="J310" s="122" t="s">
        <v>1230</v>
      </c>
      <c r="K310" s="122" t="s">
        <v>639</v>
      </c>
      <c r="L310" s="134">
        <v>0</v>
      </c>
    </row>
    <row r="311" spans="1:12" ht="27" customHeight="1">
      <c r="A311" s="129" t="s">
        <v>1290</v>
      </c>
      <c r="B311" s="122" t="s">
        <v>1291</v>
      </c>
      <c r="C311" s="129">
        <v>3</v>
      </c>
      <c r="D311" s="129" t="s">
        <v>259</v>
      </c>
      <c r="E311" s="130">
        <v>46373</v>
      </c>
      <c r="F311" s="130">
        <v>46377</v>
      </c>
      <c r="G311" s="131">
        <v>3</v>
      </c>
      <c r="H311" s="132">
        <v>1</v>
      </c>
      <c r="I311" s="122" t="s">
        <v>1263</v>
      </c>
      <c r="J311" s="122" t="s">
        <v>1230</v>
      </c>
      <c r="K311" s="122" t="s">
        <v>639</v>
      </c>
      <c r="L311" s="134">
        <v>0</v>
      </c>
    </row>
    <row r="312" spans="1:12" ht="20" customHeight="1">
      <c r="A312" s="117" t="s">
        <v>1292</v>
      </c>
      <c r="B312" s="118" t="s">
        <v>1293</v>
      </c>
      <c r="C312" s="117">
        <v>1</v>
      </c>
      <c r="D312" s="117" t="s">
        <v>638</v>
      </c>
      <c r="E312" s="119">
        <v>46366</v>
      </c>
      <c r="F312" s="119">
        <v>46380</v>
      </c>
      <c r="G312" s="120">
        <v>11</v>
      </c>
      <c r="H312" s="121" t="s"/>
      <c r="I312" s="118" t="s"/>
      <c r="J312" s="118" t="s"/>
      <c r="K312" s="122" t="s">
        <v>639</v>
      </c>
      <c r="L312" s="134">
        <v>0</v>
      </c>
    </row>
    <row r="313" spans="1:12" ht="20" customHeight="1">
      <c r="A313" s="124" t="s">
        <v>1294</v>
      </c>
      <c r="B313" s="125" t="s">
        <v>1295</v>
      </c>
      <c r="C313" s="124">
        <v>2</v>
      </c>
      <c r="D313" s="124" t="s">
        <v>638</v>
      </c>
      <c r="E313" s="126">
        <v>46366</v>
      </c>
      <c r="F313" s="126">
        <v>46380</v>
      </c>
      <c r="G313" s="127">
        <v>11</v>
      </c>
      <c r="H313" s="128" t="s"/>
      <c r="I313" s="125" t="s"/>
      <c r="J313" s="125" t="s"/>
      <c r="K313" s="122" t="s">
        <v>639</v>
      </c>
      <c r="L313" s="134">
        <v>0</v>
      </c>
    </row>
    <row r="314" spans="1:12" ht="20" customHeight="1">
      <c r="A314" s="129" t="s">
        <v>1296</v>
      </c>
      <c r="B314" s="122" t="s">
        <v>1297</v>
      </c>
      <c r="C314" s="129">
        <v>3</v>
      </c>
      <c r="D314" s="129" t="s">
        <v>596</v>
      </c>
      <c r="E314" s="130">
        <v>46380</v>
      </c>
      <c r="F314" s="130">
        <v>46380</v>
      </c>
      <c r="G314" s="131">
        <v>1</v>
      </c>
      <c r="H314" s="132">
        <v>0.5</v>
      </c>
      <c r="I314" s="122" t="s">
        <v>657</v>
      </c>
      <c r="J314" s="122" t="s">
        <v>1298</v>
      </c>
      <c r="K314" s="122" t="s">
        <v>639</v>
      </c>
      <c r="L314" s="134">
        <v>0</v>
      </c>
    </row>
    <row r="315" spans="1:12" ht="20" customHeight="1">
      <c r="A315" s="129" t="s">
        <v>1299</v>
      </c>
      <c r="B315" s="122" t="s">
        <v>1300</v>
      </c>
      <c r="C315" s="129">
        <v>3</v>
      </c>
      <c r="D315" s="129" t="s">
        <v>252</v>
      </c>
      <c r="E315" s="130">
        <v>46366</v>
      </c>
      <c r="F315" s="130">
        <v>46367</v>
      </c>
      <c r="G315" s="131">
        <v>2</v>
      </c>
      <c r="H315" s="132">
        <v>1.5</v>
      </c>
      <c r="I315" s="122" t="s">
        <v>644</v>
      </c>
      <c r="J315" s="122" t="s">
        <v>1282</v>
      </c>
      <c r="K315" s="122" t="s">
        <v>639</v>
      </c>
      <c r="L315" s="134">
        <v>0</v>
      </c>
    </row>
    <row r="316" spans="1:12" ht="20" customHeight="1">
      <c r="A316" s="129" t="s">
        <v>1301</v>
      </c>
      <c r="B316" s="122" t="s">
        <v>1302</v>
      </c>
      <c r="C316" s="129">
        <v>3</v>
      </c>
      <c r="D316" s="129" t="s">
        <v>252</v>
      </c>
      <c r="E316" s="130">
        <v>46366</v>
      </c>
      <c r="F316" s="130">
        <v>46370</v>
      </c>
      <c r="G316" s="131">
        <v>3</v>
      </c>
      <c r="H316" s="132">
        <v>1</v>
      </c>
      <c r="I316" s="122" t="s">
        <v>644</v>
      </c>
      <c r="J316" s="122" t="s">
        <v>1282</v>
      </c>
      <c r="K316" s="122" t="s">
        <v>639</v>
      </c>
      <c r="L316" s="134">
        <v>0</v>
      </c>
    </row>
    <row r="317" spans="1:12" ht="20" customHeight="1">
      <c r="A317" s="129" t="s">
        <v>1303</v>
      </c>
      <c r="B317" s="122" t="s">
        <v>1304</v>
      </c>
      <c r="C317" s="129">
        <v>3</v>
      </c>
      <c r="D317" s="129" t="s">
        <v>259</v>
      </c>
      <c r="E317" s="130">
        <v>46373</v>
      </c>
      <c r="F317" s="130">
        <v>46379</v>
      </c>
      <c r="G317" s="131">
        <v>5</v>
      </c>
      <c r="H317" s="132">
        <v>1.5</v>
      </c>
      <c r="I317" s="122" t="s">
        <v>644</v>
      </c>
      <c r="J317" s="122" t="s">
        <v>1230</v>
      </c>
      <c r="K317" s="122" t="s">
        <v>639</v>
      </c>
      <c r="L317" s="134">
        <v>0</v>
      </c>
    </row>
    <row r="318" spans="1:12" ht="20" customHeight="1">
      <c r="A318" s="124" t="s">
        <v>1305</v>
      </c>
      <c r="B318" s="125" t="s">
        <v>1306</v>
      </c>
      <c r="C318" s="124">
        <v>2</v>
      </c>
      <c r="D318" s="124" t="s">
        <v>638</v>
      </c>
      <c r="E318" s="126">
        <v>46366</v>
      </c>
      <c r="F318" s="126">
        <v>46374</v>
      </c>
      <c r="G318" s="127">
        <v>7</v>
      </c>
      <c r="H318" s="128" t="s"/>
      <c r="I318" s="125" t="s"/>
      <c r="J318" s="125" t="s"/>
      <c r="K318" s="122" t="s">
        <v>639</v>
      </c>
      <c r="L318" s="134">
        <v>0</v>
      </c>
    </row>
    <row r="319" spans="1:12" ht="20" customHeight="1">
      <c r="A319" s="129" t="s">
        <v>1307</v>
      </c>
      <c r="B319" s="122" t="s">
        <v>1308</v>
      </c>
      <c r="C319" s="129">
        <v>3</v>
      </c>
      <c r="D319" s="129" t="s">
        <v>596</v>
      </c>
      <c r="E319" s="130">
        <v>46373</v>
      </c>
      <c r="F319" s="130">
        <v>46374</v>
      </c>
      <c r="G319" s="131">
        <v>2</v>
      </c>
      <c r="H319" s="132">
        <v>0.5</v>
      </c>
      <c r="I319" s="122" t="s">
        <v>657</v>
      </c>
      <c r="J319" s="122" t="s">
        <v>1309</v>
      </c>
      <c r="K319" s="122" t="s">
        <v>639</v>
      </c>
      <c r="L319" s="134">
        <v>0</v>
      </c>
    </row>
    <row r="320" spans="1:12" ht="27" customHeight="1">
      <c r="A320" s="129" t="s">
        <v>1310</v>
      </c>
      <c r="B320" s="122" t="s">
        <v>1311</v>
      </c>
      <c r="C320" s="129">
        <v>3</v>
      </c>
      <c r="D320" s="129" t="s">
        <v>252</v>
      </c>
      <c r="E320" s="130">
        <v>46366</v>
      </c>
      <c r="F320" s="130">
        <v>46371</v>
      </c>
      <c r="G320" s="131">
        <v>4</v>
      </c>
      <c r="H320" s="132">
        <v>1</v>
      </c>
      <c r="I320" s="122" t="s">
        <v>1263</v>
      </c>
      <c r="J320" s="122" t="s">
        <v>1282</v>
      </c>
      <c r="K320" s="122" t="s">
        <v>639</v>
      </c>
      <c r="L320" s="134">
        <v>0</v>
      </c>
    </row>
    <row r="321" spans="1:12" ht="20" customHeight="1">
      <c r="A321" s="129" t="s">
        <v>1312</v>
      </c>
      <c r="B321" s="122" t="s">
        <v>1313</v>
      </c>
      <c r="C321" s="129">
        <v>3</v>
      </c>
      <c r="D321" s="129" t="s">
        <v>259</v>
      </c>
      <c r="E321" s="130">
        <v>46372</v>
      </c>
      <c r="F321" s="130">
        <v>46372</v>
      </c>
      <c r="G321" s="131">
        <v>1</v>
      </c>
      <c r="H321" s="132">
        <v>0.5</v>
      </c>
      <c r="I321" s="122" t="s">
        <v>1263</v>
      </c>
      <c r="J321" s="122" t="s">
        <v>688</v>
      </c>
      <c r="K321" s="122" t="s">
        <v>639</v>
      </c>
      <c r="L321" s="134">
        <v>0</v>
      </c>
    </row>
    <row r="322" spans="1:12" ht="20" customHeight="1">
      <c r="A322" s="129" t="s">
        <v>1314</v>
      </c>
      <c r="B322" s="122" t="s">
        <v>1315</v>
      </c>
      <c r="C322" s="129">
        <v>3</v>
      </c>
      <c r="D322" s="129" t="s">
        <v>259</v>
      </c>
      <c r="E322" s="130">
        <v>46372</v>
      </c>
      <c r="F322" s="130">
        <v>46373</v>
      </c>
      <c r="G322" s="131">
        <v>2</v>
      </c>
      <c r="H322" s="132">
        <v>0.25</v>
      </c>
      <c r="I322" s="122" t="s">
        <v>1263</v>
      </c>
      <c r="J322" s="122" t="s"/>
      <c r="K322" s="122" t="s">
        <v>639</v>
      </c>
      <c r="L322" s="134">
        <v>0</v>
      </c>
    </row>
  </sheetData>
  <autoFilter ref="A3:L3"/>
  <mergeCells count="1">
    <mergeCell ref="A1:L1"/>
  </mergeCells>
  <conditionalFormatting sqref="L1:L322">
    <cfRule type="colorScale" priority="1">
      <colorScale>
        <cfvo type="min"/>
        <cfvo type="max"/>
        <color rgb="FF63BE7B"/>
        <color rgb="FFFCFCFF"/>
      </colorScale>
    </cfRule>
  </conditionalFormatting>
  <conditionalFormatting sqref="L11">
    <cfRule type="expression" dxfId="0" priority="2">
      <formula>AND($G11&lt;&gt;"",$G11&lt;TODAY(),$L11&lt;&gt;"已完成",$A11&lt;&gt;"")</formula>
    </cfRule>
  </conditionalFormatting>
  <conditionalFormatting sqref="L11">
    <cfRule type="dataBar" priority="3">
      <dataBar>
        <cfvo type="num" val="0"/>
        <cfvo type="num" val="1"/>
        <color rgb="FF638EC6"/>
      </dataBar>
      <extLst>
        <ext uri="{B025F937-C7B1-47D3-B67F-A62EFF666E3E}">
          <x14:id>{7CE2D373-E4BB-4623-A5CB-14925667D3E7}</x14:id>
        </ext>
      </extLst>
    </cfRule>
  </conditionalFormatting>
  <conditionalFormatting sqref="L10">
    <cfRule type="expression" dxfId="0" priority="4">
      <formula>AND($G10&lt;&gt;"",$G10&lt;TODAY(),$L10&lt;&gt;"已完成",$A10&lt;&gt;"")</formula>
    </cfRule>
  </conditionalFormatting>
  <conditionalFormatting sqref="L10">
    <cfRule type="dataBar" priority="5">
      <dataBar>
        <cfvo type="num" val="0"/>
        <cfvo type="num" val="1"/>
        <color rgb="FF638EC6"/>
      </dataBar>
      <extLst>
        <ext uri="{B025F937-C7B1-47D3-B67F-A62EFF666E3E}">
          <x14:id>{3A7F346D-30C3-4867-A117-84263B9A2704}</x14:id>
        </ext>
      </extLst>
    </cfRule>
  </conditionalFormatting>
  <conditionalFormatting sqref="L9">
    <cfRule type="expression" dxfId="0" priority="6">
      <formula>AND($G9&lt;&gt;"",$G9&lt;TODAY(),$L9&lt;&gt;"已完成",$A9&lt;&gt;"")</formula>
    </cfRule>
  </conditionalFormatting>
  <conditionalFormatting sqref="L9">
    <cfRule type="dataBar" priority="7">
      <dataBar>
        <cfvo type="num" val="0"/>
        <cfvo type="num" val="1"/>
        <color rgb="FF638EC6"/>
      </dataBar>
      <extLst>
        <ext uri="{B025F937-C7B1-47D3-B67F-A62EFF666E3E}">
          <x14:id>{C798657A-0693-4D22-8DB1-0CF257175E73}</x14:id>
        </ext>
      </extLst>
    </cfRule>
  </conditionalFormatting>
  <conditionalFormatting sqref="L8">
    <cfRule type="expression" dxfId="0" priority="8">
      <formula>AND($G8&lt;&gt;"",$G8&lt;TODAY(),$L8&lt;&gt;"已完成",$A8&lt;&gt;"")</formula>
    </cfRule>
  </conditionalFormatting>
  <conditionalFormatting sqref="L8">
    <cfRule type="dataBar" priority="9">
      <dataBar>
        <cfvo type="num" val="0"/>
        <cfvo type="num" val="1"/>
        <color rgb="FF638EC6"/>
      </dataBar>
      <extLst>
        <ext uri="{B025F937-C7B1-47D3-B67F-A62EFF666E3E}">
          <x14:id>{158B8D93-E660-49D1-88A3-46726CC42E40}</x14:id>
        </ext>
      </extLst>
    </cfRule>
  </conditionalFormatting>
  <conditionalFormatting sqref="L7">
    <cfRule type="expression" dxfId="0" priority="10">
      <formula>AND($G7&lt;&gt;"",$G7&lt;TODAY(),$L7&lt;&gt;"已完成",$A7&lt;&gt;"")</formula>
    </cfRule>
  </conditionalFormatting>
  <conditionalFormatting sqref="L7">
    <cfRule type="dataBar" priority="11">
      <dataBar>
        <cfvo type="num" val="0"/>
        <cfvo type="num" val="1"/>
        <color rgb="FF638EC6"/>
      </dataBar>
      <extLst>
        <ext uri="{B025F937-C7B1-47D3-B67F-A62EFF666E3E}">
          <x14:id>{B226EDFE-3E1C-41CA-9F7A-5F9117C6995E}</x14:id>
        </ext>
      </extLst>
    </cfRule>
  </conditionalFormatting>
  <conditionalFormatting sqref="L6">
    <cfRule type="expression" dxfId="0" priority="12">
      <formula>AND($G6&lt;&gt;"",$G6&lt;TODAY(),$L6&lt;&gt;"已完成",$A6&lt;&gt;"")</formula>
    </cfRule>
  </conditionalFormatting>
  <conditionalFormatting sqref="L6">
    <cfRule type="dataBar" priority="13">
      <dataBar>
        <cfvo type="num" val="0"/>
        <cfvo type="num" val="1"/>
        <color rgb="FF638EC6"/>
      </dataBar>
      <extLst>
        <ext uri="{B025F937-C7B1-47D3-B67F-A62EFF666E3E}">
          <x14:id>{D955E5F0-C103-4CDF-B479-51990382270F}</x14:id>
        </ext>
      </extLst>
    </cfRule>
  </conditionalFormatting>
  <conditionalFormatting sqref="L5">
    <cfRule type="expression" dxfId="0" priority="14">
      <formula>AND($G5&lt;&gt;"",$G5&lt;TODAY(),$L5&lt;&gt;"已完成",$A5&lt;&gt;"")</formula>
    </cfRule>
  </conditionalFormatting>
  <conditionalFormatting sqref="L5">
    <cfRule type="dataBar" priority="15">
      <dataBar>
        <cfvo type="num" val="0"/>
        <cfvo type="num" val="1"/>
        <color rgb="FF638EC6"/>
      </dataBar>
      <extLst>
        <ext uri="{B025F937-C7B1-47D3-B67F-A62EFF666E3E}">
          <x14:id>{3CED8740-54DD-4448-B126-A6B6BA5CF777}</x14:id>
        </ext>
      </extLst>
    </cfRule>
  </conditionalFormatting>
  <conditionalFormatting sqref="L4">
    <cfRule type="expression" dxfId="0" priority="16">
      <formula>AND($G4&lt;&gt;"",$G4&lt;TODAY(),$L4&lt;&gt;"已完成",$A4&lt;&gt;"")</formula>
    </cfRule>
  </conditionalFormatting>
  <conditionalFormatting sqref="L4">
    <cfRule type="dataBar" priority="17">
      <dataBar>
        <cfvo type="num" val="0"/>
        <cfvo type="num" val="1"/>
        <color rgb="FF638EC6"/>
      </dataBar>
      <extLst>
        <ext uri="{B025F937-C7B1-47D3-B67F-A62EFF666E3E}">
          <x14:id>{DB599E37-67C6-4D13-A509-8016A10B627B}</x14:id>
        </ext>
      </extLst>
    </cfRule>
  </conditionalFormatting>
  <conditionalFormatting sqref="L12:L322">
    <cfRule type="expression" dxfId="0" priority="18">
      <formula>AND($G12&lt;&gt;"",$G12&lt;TODAY(),$L12&lt;&gt;"已完成",$A12&lt;&gt;"")</formula>
    </cfRule>
  </conditionalFormatting>
  <conditionalFormatting sqref="L12:L322">
    <cfRule type="dataBar" priority="19">
      <dataBar>
        <cfvo type="num" val="0"/>
        <cfvo type="num" val="1"/>
        <color rgb="FF638EC6"/>
      </dataBar>
      <extLst>
        <ext uri="{B025F937-C7B1-47D3-B67F-A62EFF666E3E}">
          <x14:id>{C88EE67C-1488-4F1E-A50D-8AB969A0E849}</x14:id>
        </ext>
      </extLst>
    </cfRule>
  </conditionalFormatting>
  <dataValidations>
    <dataValidation type="list" operator="between" allowBlank="1" sqref="K4:K322">
      <formula1>"未开始,进行中,已完成,已延期,暂停"</formula1>
    </dataValidation>
    <dataValidation type="decimal" operator="between" allowBlank="1" sqref="L4:L322">
      <formula1>0</formula1>
      <formula2>1</formula2>
    </dataValidation>
  </dataValidations>
  <pageMargins left="0.7" right="0.7" top="0.75" bottom="0.75" header="0.3" footer="0.3"/>
  <extLst>
    <ext uri="{78C0D931-6437-407d-A8EE-F0AAD7539E65}">
      <x14:conditionalFormattings>
        <x14:conditionalFormatting>
          <x14:cfRule type="dataBar" id="{7CE2D373-E4BB-4623-A5CB-14925667D3E7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L11</xm:sqref>
        </x14:conditionalFormatting>
        <x14:conditionalFormatting>
          <x14:cfRule type="dataBar" id="{3A7F346D-30C3-4867-A117-84263B9A2704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L10</xm:sqref>
        </x14:conditionalFormatting>
        <x14:conditionalFormatting>
          <x14:cfRule type="dataBar" id="{C798657A-0693-4D22-8DB1-0CF257175E73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L9</xm:sqref>
        </x14:conditionalFormatting>
        <x14:conditionalFormatting>
          <x14:cfRule type="dataBar" id="{158B8D93-E660-49D1-88A3-46726CC42E40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L8</xm:sqref>
        </x14:conditionalFormatting>
        <x14:conditionalFormatting>
          <x14:cfRule type="dataBar" id="{B226EDFE-3E1C-41CA-9F7A-5F9117C6995E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L7</xm:sqref>
        </x14:conditionalFormatting>
        <x14:conditionalFormatting>
          <x14:cfRule type="dataBar" id="{D955E5F0-C103-4CDF-B479-51990382270F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L6</xm:sqref>
        </x14:conditionalFormatting>
        <x14:conditionalFormatting>
          <x14:cfRule type="dataBar" id="{3CED8740-54DD-4448-B126-A6B6BA5CF777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L5</xm:sqref>
        </x14:conditionalFormatting>
        <x14:conditionalFormatting>
          <x14:cfRule type="dataBar" id="{DB599E37-67C6-4D13-A509-8016A10B627B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L4</xm:sqref>
        </x14:conditionalFormatting>
        <x14:conditionalFormatting>
          <x14:cfRule type="dataBar" id="{C88EE67C-1488-4F1E-A50D-8AB969A0E849}">
            <x14:dataBar>
              <x14:cfvo type="num">
                <xm:f>0</xm:f>
              </x14:cfvo>
              <x14:cfvo type="num">
                <xm:f>1</xm:f>
              </x14:cfvo>
              <x14:negativeFillColor rgb="FFBED4FA"/>
            </x14:dataBar>
          </x14:cfRule>
          <xm:sqref>L12:L322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>
  <sheetPr codeName="Sheet7">
    <tabColor rgb="FF00B0F0"/>
  </sheetPr>
  <dimension ref="L11"/>
  <sheetViews>
    <sheetView showGridLines="1" workbookViewId="0"/>
  </sheetViews>
  <sheetFormatPr baseColWidth="8" defaultRowHeight="14.5"/>
  <cols>
    <col min="1" max="1" width="12" customWidth="1"/>
    <col min="2" max="2" width="33.9062" customWidth="1"/>
    <col min="3" max="3" width="50.8164" bestFit="1" customWidth="1"/>
    <col min="4" max="4" width="9.81641" customWidth="1"/>
    <col min="5" max="5" width="64.543" bestFit="1" customWidth="1"/>
    <col min="6" max="6" width="9.90625" customWidth="1"/>
    <col min="7" max="7" width="27.8164" bestFit="1" customWidth="1"/>
    <col min="8" max="8" width="49.1797" customWidth="1"/>
    <col min="9" max="9" width="28.2695" customWidth="1"/>
  </cols>
  <sheetData>
    <row r="1" spans="1:12" ht="20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</row>
    <row r="2" spans="1:1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6" t="s"/>
      <c r="K2" s="6" t="s"/>
      <c r="L2" s="6" t="s"/>
    </row>
    <row r="3" spans="1:12" ht="61" customHeight="1">
      <c r="A3" s="7" t="s">
        <v>11</v>
      </c>
      <c r="B3" s="8" t="s">
        <v>12</v>
      </c>
      <c r="C3" s="9" t="s">
        <v>13</v>
      </c>
      <c r="D3" s="10" t="s">
        <v>14</v>
      </c>
      <c r="E3" s="9" t="s">
        <v>15</v>
      </c>
      <c r="F3" s="11" t="s">
        <v>16</v>
      </c>
      <c r="G3" s="12" t="s">
        <v>17</v>
      </c>
      <c r="H3" s="13" t="s">
        <v>18</v>
      </c>
      <c r="I3" s="9" t="s">
        <v>19</v>
      </c>
      <c r="J3" s="6" t="s"/>
      <c r="K3" s="6" t="s"/>
      <c r="L3" s="6" t="s"/>
    </row>
    <row r="4" spans="1:12" ht="61" customHeight="1">
      <c r="A4" s="14" t="s">
        <v>20</v>
      </c>
      <c r="B4" s="8" t="s">
        <v>21</v>
      </c>
      <c r="C4" s="9" t="s">
        <v>22</v>
      </c>
      <c r="D4" s="10" t="s">
        <v>23</v>
      </c>
      <c r="E4" s="9" t="s">
        <v>24</v>
      </c>
      <c r="F4" s="11" t="s">
        <v>25</v>
      </c>
      <c r="G4" s="12" t="s">
        <v>26</v>
      </c>
      <c r="H4" s="13" t="s">
        <v>27</v>
      </c>
      <c r="I4" s="9" t="s">
        <v>28</v>
      </c>
      <c r="J4" s="6" t="s"/>
      <c r="K4" s="6" t="s"/>
      <c r="L4" s="6" t="s"/>
    </row>
    <row r="5" spans="1:12" ht="61" customHeight="1">
      <c r="A5" s="14" t="s">
        <v>20</v>
      </c>
      <c r="B5" s="8" t="s">
        <v>29</v>
      </c>
      <c r="C5" s="9" t="s">
        <v>30</v>
      </c>
      <c r="D5" s="10" t="s">
        <v>31</v>
      </c>
      <c r="E5" s="9" t="s">
        <v>32</v>
      </c>
      <c r="F5" s="11" t="s">
        <v>16</v>
      </c>
      <c r="G5" s="12" t="s">
        <v>33</v>
      </c>
      <c r="H5" s="13" t="s">
        <v>34</v>
      </c>
      <c r="I5" s="9" t="s">
        <v>35</v>
      </c>
      <c r="J5" s="6" t="s"/>
      <c r="K5" s="6" t="s"/>
      <c r="L5" s="6" t="s"/>
    </row>
    <row r="6" spans="1:12" ht="61" customHeight="1">
      <c r="A6" s="14" t="s">
        <v>20</v>
      </c>
      <c r="B6" s="8" t="s">
        <v>36</v>
      </c>
      <c r="C6" s="9" t="s">
        <v>37</v>
      </c>
      <c r="D6" s="10" t="s">
        <v>31</v>
      </c>
      <c r="E6" s="9" t="s">
        <v>38</v>
      </c>
      <c r="F6" s="11" t="s">
        <v>16</v>
      </c>
      <c r="G6" s="12" t="s">
        <v>39</v>
      </c>
      <c r="H6" s="13" t="s">
        <v>40</v>
      </c>
      <c r="I6" s="9" t="s">
        <v>41</v>
      </c>
      <c r="J6" s="6" t="s"/>
      <c r="K6" s="6" t="s"/>
      <c r="L6" s="6" t="s"/>
    </row>
    <row r="7" spans="1:12" ht="61" customHeight="1">
      <c r="A7" s="16" t="s">
        <v>42</v>
      </c>
      <c r="B7" s="8" t="s">
        <v>43</v>
      </c>
      <c r="C7" s="9" t="s">
        <v>44</v>
      </c>
      <c r="D7" s="10" t="s">
        <v>45</v>
      </c>
      <c r="E7" s="9" t="s">
        <v>46</v>
      </c>
      <c r="F7" s="11" t="s">
        <v>16</v>
      </c>
      <c r="G7" s="12" t="s">
        <v>47</v>
      </c>
      <c r="H7" s="13" t="s">
        <v>48</v>
      </c>
      <c r="I7" s="9" t="s">
        <v>49</v>
      </c>
      <c r="J7" s="6" t="s"/>
      <c r="K7" s="6" t="s"/>
      <c r="L7" s="6" t="s"/>
    </row>
    <row r="8" spans="1:12" ht="61" customHeight="1">
      <c r="A8" s="16" t="s">
        <v>42</v>
      </c>
      <c r="B8" s="8" t="s">
        <v>50</v>
      </c>
      <c r="C8" s="9" t="s">
        <v>51</v>
      </c>
      <c r="D8" s="10" t="s">
        <v>52</v>
      </c>
      <c r="E8" s="9" t="s">
        <v>53</v>
      </c>
      <c r="F8" s="11" t="s">
        <v>54</v>
      </c>
      <c r="G8" s="12" t="s">
        <v>55</v>
      </c>
      <c r="H8" s="13" t="s">
        <v>56</v>
      </c>
      <c r="I8" s="9" t="s">
        <v>57</v>
      </c>
      <c r="J8" s="6" t="s"/>
      <c r="K8" s="6" t="s"/>
      <c r="L8" s="6" t="s"/>
    </row>
    <row r="9" spans="1:12" ht="61" customHeight="1">
      <c r="A9" s="16" t="s">
        <v>42</v>
      </c>
      <c r="B9" s="8" t="s">
        <v>58</v>
      </c>
      <c r="C9" s="9" t="s">
        <v>59</v>
      </c>
      <c r="D9" s="10" t="s">
        <v>60</v>
      </c>
      <c r="E9" s="9" t="s">
        <v>61</v>
      </c>
      <c r="F9" s="11" t="s">
        <v>16</v>
      </c>
      <c r="G9" s="12" t="s">
        <v>62</v>
      </c>
      <c r="H9" s="13" t="s">
        <v>63</v>
      </c>
      <c r="I9" s="9" t="s">
        <v>64</v>
      </c>
      <c r="J9" s="6" t="s"/>
      <c r="K9" s="6" t="s"/>
      <c r="L9" s="6" t="s"/>
    </row>
    <row r="10" spans="1:12" ht="61" customHeight="1">
      <c r="A10" s="17" t="s">
        <v>65</v>
      </c>
      <c r="B10" s="8" t="s">
        <v>66</v>
      </c>
      <c r="C10" s="9" t="s">
        <v>67</v>
      </c>
      <c r="D10" s="10" t="s">
        <v>68</v>
      </c>
      <c r="E10" s="9" t="s">
        <v>69</v>
      </c>
      <c r="F10" s="11" t="s">
        <v>16</v>
      </c>
      <c r="G10" s="12" t="s">
        <v>70</v>
      </c>
      <c r="H10" s="13" t="s">
        <v>71</v>
      </c>
      <c r="I10" s="9" t="s">
        <v>72</v>
      </c>
      <c r="J10" s="6" t="s"/>
      <c r="K10" s="6" t="s"/>
      <c r="L10" s="6" t="s"/>
    </row>
    <row r="11" spans="1:12" ht="61" customHeight="1">
      <c r="A11" s="17" t="s">
        <v>65</v>
      </c>
      <c r="B11" s="8" t="s">
        <v>73</v>
      </c>
      <c r="C11" s="9" t="s">
        <v>74</v>
      </c>
      <c r="D11" s="10" t="s">
        <v>75</v>
      </c>
      <c r="E11" s="9" t="s">
        <v>76</v>
      </c>
      <c r="F11" s="11" t="s">
        <v>16</v>
      </c>
      <c r="G11" s="12" t="s">
        <v>77</v>
      </c>
      <c r="H11" s="13" t="s">
        <v>78</v>
      </c>
      <c r="I11" s="9" t="s">
        <v>79</v>
      </c>
      <c r="J11" s="6" t="s"/>
      <c r="K11" s="6" t="s"/>
      <c r="L11" s="6" t="s"/>
    </row>
  </sheetData>
  <mergeCells count="1"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tabColor theme="0"/>
  </sheetPr>
  <dimension ref="D4"/>
  <sheetViews>
    <sheetView showGridLines="1" zoomScale="115" zoomScaleNormal="115" workbookViewId="0"/>
  </sheetViews>
  <sheetFormatPr baseColWidth="8" defaultRowHeight="14.5"/>
  <cols>
    <col min="1" max="1" width="20.7266" bestFit="1" customWidth="1"/>
    <col min="2" max="2" width="51.4531" bestFit="1" customWidth="1"/>
    <col min="3" max="3" width="85.2695" customWidth="1"/>
    <col min="4" max="4" width="79.0898" bestFit="1" customWidth="1"/>
  </cols>
  <sheetData>
    <row r="1" spans="1:4">
      <c r="A1" s="136" t="s">
        <v>1316</v>
      </c>
      <c r="B1" s="136" t="s">
        <v>1317</v>
      </c>
      <c r="C1" s="136" t="s">
        <v>1318</v>
      </c>
      <c r="D1" s="136" t="s">
        <v>1319</v>
      </c>
    </row>
    <row r="2" spans="1:4" ht="26" customHeight="1">
      <c r="A2" s="137" t="s">
        <v>1320</v>
      </c>
      <c r="B2" s="137" t="s">
        <v>1321</v>
      </c>
      <c r="C2" s="137" t="s">
        <v>1322</v>
      </c>
      <c r="D2" s="137" t="s">
        <v>1323</v>
      </c>
    </row>
    <row r="3" spans="1:4" ht="26" customHeight="1">
      <c r="A3" s="137" t="s">
        <v>1324</v>
      </c>
      <c r="B3" s="137" t="s">
        <v>1325</v>
      </c>
      <c r="C3" s="137" t="s">
        <v>1326</v>
      </c>
      <c r="D3" s="137" t="s">
        <v>1327</v>
      </c>
    </row>
    <row r="4" spans="1:4" ht="26" customHeight="1">
      <c r="A4" s="137" t="s">
        <v>1328</v>
      </c>
      <c r="B4" s="137" t="s">
        <v>1329</v>
      </c>
      <c r="C4" s="137" t="s">
        <v>1330</v>
      </c>
      <c r="D4" s="137" t="s">
        <v>1331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2026-09-03T16:24:16Z</dcterms:created>
  <dcterms:modified xsi:type="dcterms:W3CDTF">2026-09-03T16:24:16Z</dcterms:modified>
</cp:coreProperties>
</file>