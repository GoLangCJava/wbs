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  <font>
      <b val="1"/>
      <color rgb="00C00000"/>
      <sz val="9"/>
    </font>
    <font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2"/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项目启动即前置（3.1.1~3.1.4、3.2.1）：代码仓库/分支策略/开发环境统一/AI工具账号→AI开发规范→四道门禁CI/CD（含Azure DevOps连接K8s、测试环境部署流水线）→前后端工程初始化，先立环境与规矩再生成代码。部署节奏：测试环境早期先部署（联调/测试用，流水线自动更新）、生产环境终期部署（12/10，带审批）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一并冻结（2.2.1，M1=9/24）→NFR测试可执行化（2.3.1）→设计期定方案（3.2.8）→集成期初验（6.3.2）→专项验证先于UAT完成（7.2.3性能/7.2.6安全可靠性，12/3~12/4）→生产就绪评审确认达标（7.2.7，12/9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子任务级直估：模块→功能→子任务三层结构（模块列与功能列均为纵向合并单元格），25项功能×72子任务 + 非功能与工程支撑×23子任务（N1框架初始化与基座/N2 ESLint·SonarLint·SAST代码质量治理/N3性能·鉴权·可观测·容量/N4部署运维），按BA/开发A/开发B/测试/SLC文档独立估人天；底部附与计划口径对照、AI提效折算与工作量合理性复查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AI生成SRS初稿（26项功能+非功能需求NFR：数据流图/归档范围矩阵/保留期矩阵+性能·安全·合规·可用性·容量指标）+人工修订</t>
        </is>
      </c>
      <c r="C21" s="15" t="n">
        <v>3</v>
      </c>
      <c r="D21" s="17" t="inlineStr">
        <is>
          <t>SRS V1.0（含NFR基线）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NFR测试可执行化（将SRS中NFR基线细化为可测验收标准：检索响应/导出吞吐/并发/越权与掩码旁路用例集/RPO·RTO/容量上限，供6.3.2/7.2.3/7.2.6对照）</t>
        </is>
      </c>
      <c r="C24" s="15" t="n">
        <v>3</v>
      </c>
      <c r="D24" s="17" t="inlineStr">
        <is>
          <t>NFR可测验收标准清单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inlineStr">
        <is>
          <t>NFR基线已随SRS于M1冻结；本任务只做测试化转译，不改变基线</t>
        </is>
      </c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四道安全门禁CI/CD搭建（Azure DevOps：构建+镜像+SAST/依赖/密钥扫描/越权用例门禁，并Service Connection连接K8s、配测试环境部署流水线，4人天：流水线搭建/扫描工具接入/越权用例门禁/拦截样例演示）</t>
        </is>
      </c>
      <c r="C33" s="15" t="n">
        <v>3</v>
      </c>
      <c r="D33" s="17" t="inlineStr">
        <is>
          <t>CI/CD流水线（4道硬门禁+K8s部署）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F04与非功能设计定稿（加密/密钥/备份灾备方案+性能容量与「数据不出境」合规基线，对应2.2.1 NFR基线）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3.2.5;2.2.2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数据加密存储（ADLS原生SSE+CMK配置+PII字段加密落盘验证/密钥版本化）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Vault原生服务+RBAC配置+应用Managed Identity集成与审计对接）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inlineStr">
        <is>
          <t>创建/保管/轮换/权限均为Key Vault原生能力；开发仅集成与审计对接</t>
        </is>
      </c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异地灾备（Azure Blob原生异地冗余GRS/RA-GRS配置+恢复流程演练，非自研）</t>
        </is>
      </c>
      <c r="C94" s="15" t="n">
        <v>3</v>
      </c>
      <c r="D94" s="17" t="inlineStr">
        <is>
          <t>灾备配置与恢复演练记录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inlineStr">
        <is>
          <t>Azure Blob原生能力（GRS）：仅配置冗余选项+恢复演练验证，开发量极小；11/9完成</t>
        </is>
      </c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上线发布包（K8s发布清单+生产部署流水线+部署Runbook）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系统测试全量执行（26项逐项+汇总NFR专项结果（7.2.3/7.2.6），CC真实数据：检索/预览/导出/处置/审计）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46363</v>
      </c>
      <c r="G144" s="45" t="n">
        <v>46364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inlineStr">
        <is>
          <t>12/7~12/8与UAT并行（staging环境，互不冲突）；回退预案验证</t>
        </is>
      </c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46359</v>
      </c>
      <c r="G145" s="45" t="n">
        <v>46360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6.1.6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inlineStr">
        <is>
          <t>★先于UAT（12/7）完成：不达标则调优复测后再组织UAT；结果提交M6与生产就绪评审</t>
        </is>
      </c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46363</v>
      </c>
      <c r="G147" s="45" t="n">
        <v>46364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inlineStr">
        <is>
          <t>12/7~12/8与UAT并行；全流程dry-run</t>
        </is>
      </c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46359</v>
      </c>
      <c r="G148" s="45" t="n">
        <v>46360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6.2.5;7.2.4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inlineStr">
        <is>
          <t>★先于UAT（12/7）完成：越权/掩码旁路用例全跑+备份恢复与灾备切换演练；结果提交就绪评审</t>
        </is>
      </c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生产部署执行（K8s生产环境：服务+前端+UC初始配置）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>
        <f>ROUND(E3+G3+I3+K3+M3,2)</f>
        <v/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>
        <f>ROUND(E4+G4+I4+K4+M4,2)</f>
        <v/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>
        <f>ROUND(E5+G5+I5+K5+M5,2)</f>
        <v/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>
        <f>ROUND(E6+G6+I6+K6+M6,2)</f>
        <v/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>
        <f>ROUND(E7+G7+I7+K7+M7,2)</f>
        <v/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>
        <f>ROUND(E8+G8+I8+K8+M8,2)</f>
        <v/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>
        <f>ROUND(E9+G9+I9+K9+M9,2)</f>
        <v/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>
        <f>ROUND(E10+G10+I10+K10+M10,2)</f>
        <v/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>
        <f>ROUND(E11+G11+I11+K11+M11,2)</f>
        <v/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>
        <f>ROUND(E12+G12+I12+K12+M12,2)</f>
        <v/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Vault原生(RBAC)+应用Managed Identity集成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>
        <f>ROUND(E13+G13+I13+K13+M13,2)</f>
        <v/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SQL PITR/ADLS原生备份策略配置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>
        <f>ROUND(E14+G14+I14+K14+M14,2)</f>
        <v/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>
        <f>ROUND(E15+G15+I15+K15+M15,2)</f>
        <v/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>
        <f>ROUND(E16+G16+I16+K16+M16,2)</f>
        <v/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>
        <f>ROUND(E17+G17+I17+K17+M17,2)</f>
        <v/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>
        <f>ROUND(E18+G18+I18+K18+M18,2)</f>
        <v/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>
        <f>ROUND(E19+G19+I19+K19+M19,2)</f>
        <v/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>
        <f>ROUND(E20+G20+I20+K20+M20,2)</f>
        <v/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>
        <f>ROUND(E21+G21+I21+K21+M21,2)</f>
        <v/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>
        <f>ROUND(E22+G22+I22+K22+M22,2)</f>
        <v/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>
        <f>ROUND(E23+G23+I23+K23+M23,2)</f>
        <v/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>
        <f>ROUND(E24+G24+I24+K24+M24,2)</f>
        <v/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>
        <f>ROUND(E25+G25+I25+K25+M25,2)</f>
        <v/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SSO集成（Entra ID+MSAL中间件）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>
        <f>ROUND(E26+G26+I26+K26+M26,2)</f>
        <v/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>
        <f>ROUND(E27+G27+I27+K27+M27,2)</f>
        <v/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>
        <f>ROUND(E28+G28+I28+K28+M28,2)</f>
        <v/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>
        <f>ROUND(E29+G29+I29+K29+M29,2)</f>
        <v/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>
        <f>ROUND(E30+G30+I30+K30+M30,2)</f>
        <v/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>
        <f>ROUND(E31+G31+I31+K31+M31,2)</f>
        <v/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>
        <f>ROUND(E32+G32+I32+K32+M32,2)</f>
        <v/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>
        <f>ROUND(E33+G33+I33+K33+M33,2)</f>
        <v/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>
        <f>ROUND(E34+G34+I34+K34+M34,2)</f>
        <v/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非功能与质量专项验证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>
        <f>ROUND(E35+G35+I35+K35+M35,2)</f>
        <v/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>
        <f>ROUND(E36+G36+I36+K36+M36,2)</f>
        <v/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>
        <f>ROUND(E37+G37+I37+K37+M37+15.0,2)</f>
        <v/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>
        <f>ROUND(SUM(E3:E37),2)</f>
        <v/>
      </c>
      <c r="F38" s="8" t="inlineStr">
        <is>
          <t>Wade（开发A）</t>
        </is>
      </c>
      <c r="G38" s="44">
        <f>ROUND(SUM(G3:G37),2)</f>
        <v/>
      </c>
      <c r="H38" s="8" t="inlineStr">
        <is>
          <t>DevB（开发B）</t>
        </is>
      </c>
      <c r="I38" s="44">
        <f>ROUND(SUM(I3:I37),2)</f>
        <v/>
      </c>
      <c r="J38" s="8" t="inlineStr">
        <is>
          <t>Mandy·测试</t>
        </is>
      </c>
      <c r="K38" s="44">
        <f>ROUND(SUM(K3:K37),2)</f>
        <v/>
      </c>
      <c r="L38" s="8" t="inlineStr">
        <is>
          <t>Mandy·文档</t>
        </is>
      </c>
      <c r="M38" s="44">
        <f>ROUND(SUM(M3:M37),2)</f>
        <v/>
      </c>
      <c r="N38" s="44">
        <f>ROUND(SUM(N3:N37),2)</f>
        <v/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1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非功能与工程支撑×23子任务（F04-04异地灾备=Azure Blob原生能力，不计开发）— 独立估算，不锚定排期185人天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</v>
      </c>
      <c r="H3" s="46" t="n">
        <v>0.5</v>
      </c>
      <c r="I3" s="46" t="n">
        <v>0.5</v>
      </c>
      <c r="J3" s="74" t="n">
        <v>1</v>
      </c>
      <c r="K3" s="46">
        <f>ROUND(SUM(F3:I3),2)</f>
        <v/>
      </c>
      <c r="L3" s="74">
        <f>ROUND(SUM(F3:I9)+J3,2)</f>
        <v/>
      </c>
    </row>
    <row r="4" ht="26" customHeight="1">
      <c r="A4" s="15" t="inlineStr">
        <is>
          <t>F01-01-2</t>
        </is>
      </c>
      <c r="B4" s="102" t="n"/>
      <c r="C4" s="17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7" t="n"/>
      <c r="K4" s="46">
        <f>ROUND(SUM(F4:I4),2)</f>
        <v/>
      </c>
      <c r="L4" s="17" t="n"/>
    </row>
    <row r="5" ht="26" customHeight="1">
      <c r="A5" s="15" t="inlineStr">
        <is>
          <t>F01-01-3</t>
        </is>
      </c>
      <c r="B5" s="102" t="n"/>
      <c r="C5" s="17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7" t="n"/>
      <c r="K5" s="46">
        <f>ROUND(SUM(F5:I5),2)</f>
        <v/>
      </c>
      <c r="L5" s="17" t="n"/>
    </row>
    <row r="6" ht="26" customHeight="1">
      <c r="A6" s="15" t="inlineStr">
        <is>
          <t>F01-01-4</t>
        </is>
      </c>
      <c r="B6" s="102" t="n"/>
      <c r="C6" s="17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7" t="n"/>
      <c r="K6" s="46">
        <f>ROUND(SUM(F6:I6),2)</f>
        <v/>
      </c>
      <c r="L6" s="17" t="n"/>
    </row>
    <row r="7" ht="26" customHeight="1">
      <c r="A7" s="15" t="inlineStr">
        <is>
          <t>F01-01-5</t>
        </is>
      </c>
      <c r="B7" s="102" t="n"/>
      <c r="C7" s="17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7" t="n"/>
      <c r="K7" s="46">
        <f>ROUND(SUM(F7:I7),2)</f>
        <v/>
      </c>
      <c r="L7" s="17" t="n"/>
    </row>
    <row r="8" ht="26" customHeight="1">
      <c r="A8" s="15" t="inlineStr">
        <is>
          <t>F01-01-6</t>
        </is>
      </c>
      <c r="B8" s="102" t="n"/>
      <c r="C8" s="17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2.5</v>
      </c>
      <c r="I8" s="46" t="n">
        <v>1</v>
      </c>
      <c r="J8" s="17" t="n"/>
      <c r="K8" s="46">
        <f>ROUND(SUM(F8:I8),2)</f>
        <v/>
      </c>
      <c r="L8" s="17" t="n"/>
    </row>
    <row r="9" ht="26" customHeight="1">
      <c r="A9" s="15" t="inlineStr">
        <is>
          <t>F01-01-7</t>
        </is>
      </c>
      <c r="B9" s="102" t="n"/>
      <c r="C9" s="17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7" t="n"/>
      <c r="K9" s="46">
        <f>ROUND(SUM(F9:I9),2)</f>
        <v/>
      </c>
      <c r="L9" s="17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>
        <f>ROUND(SUM(F10:I10),2)</f>
        <v/>
      </c>
      <c r="L10" s="74">
        <f>ROUND(SUM(F10:I13)+J10,2)</f>
        <v/>
      </c>
    </row>
    <row r="11" ht="26" customHeight="1">
      <c r="A11" s="15" t="inlineStr">
        <is>
          <t>F01-02-2</t>
        </is>
      </c>
      <c r="B11" s="102" t="n"/>
      <c r="C11" s="17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7" t="n"/>
      <c r="K11" s="46">
        <f>ROUND(SUM(F11:I11),2)</f>
        <v/>
      </c>
      <c r="L11" s="17" t="n"/>
    </row>
    <row r="12" ht="26" customHeight="1">
      <c r="A12" s="15" t="inlineStr">
        <is>
          <t>F01-02-3</t>
        </is>
      </c>
      <c r="B12" s="102" t="n"/>
      <c r="C12" s="17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7" t="n"/>
      <c r="K12" s="46">
        <f>ROUND(SUM(F12:I12),2)</f>
        <v/>
      </c>
      <c r="L12" s="17" t="n"/>
    </row>
    <row r="13" ht="26" customHeight="1">
      <c r="A13" s="15" t="inlineStr">
        <is>
          <t>F01-02-4</t>
        </is>
      </c>
      <c r="B13" s="102" t="n"/>
      <c r="C13" s="17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7" t="n"/>
      <c r="K13" s="46">
        <f>ROUND(SUM(F13:I13),2)</f>
        <v/>
      </c>
      <c r="L13" s="17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>
        <f>ROUND(SUM(F14:I14),2)</f>
        <v/>
      </c>
      <c r="L14" s="74">
        <f>ROUND(SUM(F14:I17)+J14,2)</f>
        <v/>
      </c>
    </row>
    <row r="15" ht="26" customHeight="1">
      <c r="A15" s="15" t="inlineStr">
        <is>
          <t>F01-03-2</t>
        </is>
      </c>
      <c r="B15" s="102" t="n"/>
      <c r="C15" s="17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7" t="n"/>
      <c r="K15" s="46">
        <f>ROUND(SUM(F15:I15),2)</f>
        <v/>
      </c>
      <c r="L15" s="17" t="n"/>
    </row>
    <row r="16" ht="26" customHeight="1">
      <c r="A16" s="15" t="inlineStr">
        <is>
          <t>F01-03-3</t>
        </is>
      </c>
      <c r="B16" s="102" t="n"/>
      <c r="C16" s="17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7" t="n"/>
      <c r="K16" s="46">
        <f>ROUND(SUM(F16:I16),2)</f>
        <v/>
      </c>
      <c r="L16" s="17" t="n"/>
    </row>
    <row r="17" ht="26" customHeight="1">
      <c r="A17" s="15" t="inlineStr">
        <is>
          <t>F01-03-4</t>
        </is>
      </c>
      <c r="B17" s="102" t="n"/>
      <c r="C17" s="17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7" t="n"/>
      <c r="K17" s="46">
        <f>ROUND(SUM(F17:I17),2)</f>
        <v/>
      </c>
      <c r="L17" s="17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>
        <f>ROUND(SUM(F18:I18),2)</f>
        <v/>
      </c>
      <c r="L18" s="74">
        <f>ROUND(SUM(F18:I20)+J18,2)</f>
        <v/>
      </c>
    </row>
    <row r="19" ht="26" customHeight="1">
      <c r="A19" s="15" t="inlineStr">
        <is>
          <t>F01-04-2</t>
        </is>
      </c>
      <c r="B19" s="102" t="n"/>
      <c r="C19" s="17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7" t="n"/>
      <c r="K19" s="46">
        <f>ROUND(SUM(F19:I19),2)</f>
        <v/>
      </c>
      <c r="L19" s="17" t="n"/>
    </row>
    <row r="20" ht="26" customHeight="1">
      <c r="A20" s="15" t="inlineStr">
        <is>
          <t>F01-04-3</t>
        </is>
      </c>
      <c r="B20" s="102" t="n"/>
      <c r="C20" s="17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7" t="n"/>
      <c r="K20" s="46">
        <f>ROUND(SUM(F20:I20),2)</f>
        <v/>
      </c>
      <c r="L20" s="17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>
        <f>ROUND(SUM(F21:I21),2)</f>
        <v/>
      </c>
      <c r="L21" s="74">
        <f>ROUND(SUM(F21:I22)+J21,2)</f>
        <v/>
      </c>
    </row>
    <row r="22" ht="26" customHeight="1">
      <c r="A22" s="15" t="inlineStr">
        <is>
          <t>F01-05-2</t>
        </is>
      </c>
      <c r="B22" s="103" t="n"/>
      <c r="C22" s="17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7" t="n"/>
      <c r="K22" s="46">
        <f>ROUND(SUM(F22:I22),2)</f>
        <v/>
      </c>
      <c r="L22" s="17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>
        <f>ROUND(SUM(F23:I23),2)</f>
        <v/>
      </c>
      <c r="L23" s="77">
        <f>ROUND(SUM(F23:I25)+J23,2)</f>
        <v/>
      </c>
    </row>
    <row r="24" ht="26" customHeight="1">
      <c r="A24" s="15" t="inlineStr">
        <is>
          <t>F02-01-2</t>
        </is>
      </c>
      <c r="B24" s="102" t="n"/>
      <c r="C24" s="17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7" t="n"/>
      <c r="K24" s="46">
        <f>ROUND(SUM(F24:I24),2)</f>
        <v/>
      </c>
      <c r="L24" s="17" t="n"/>
    </row>
    <row r="25" ht="26" customHeight="1">
      <c r="A25" s="15" t="inlineStr">
        <is>
          <t>F02-01-3</t>
        </is>
      </c>
      <c r="B25" s="102" t="n"/>
      <c r="C25" s="17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7" t="n"/>
      <c r="K25" s="46">
        <f>ROUND(SUM(F25:I25),2)</f>
        <v/>
      </c>
      <c r="L25" s="17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>
        <f>ROUND(SUM(F26:I26),2)</f>
        <v/>
      </c>
      <c r="L26" s="77">
        <f>ROUND(SUM(F26:I28)+J26,2)</f>
        <v/>
      </c>
    </row>
    <row r="27" ht="26" customHeight="1">
      <c r="A27" s="15" t="inlineStr">
        <is>
          <t>F02-02-2</t>
        </is>
      </c>
      <c r="B27" s="102" t="n"/>
      <c r="C27" s="17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7" t="n"/>
      <c r="K27" s="46">
        <f>ROUND(SUM(F27:I27),2)</f>
        <v/>
      </c>
      <c r="L27" s="17" t="n"/>
    </row>
    <row r="28" ht="26" customHeight="1">
      <c r="A28" s="15" t="inlineStr">
        <is>
          <t>F02-02-3</t>
        </is>
      </c>
      <c r="B28" s="103" t="n"/>
      <c r="C28" s="17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7" t="n"/>
      <c r="K28" s="46">
        <f>ROUND(SUM(F28:I28),2)</f>
        <v/>
      </c>
      <c r="L28" s="17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>
        <f>ROUND(SUM(F29:I29),2)</f>
        <v/>
      </c>
      <c r="L29" s="80">
        <f>ROUND(SUM(F29:I31)+J29,2)</f>
        <v/>
      </c>
    </row>
    <row r="30" ht="26" customHeight="1">
      <c r="A30" s="15" t="inlineStr">
        <is>
          <t>F03-01-2</t>
        </is>
      </c>
      <c r="B30" s="102" t="n"/>
      <c r="C30" s="17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3</v>
      </c>
      <c r="I30" s="46" t="n">
        <v>1</v>
      </c>
      <c r="J30" s="17" t="n"/>
      <c r="K30" s="46">
        <f>ROUND(SUM(F30:I30),2)</f>
        <v/>
      </c>
      <c r="L30" s="17" t="n"/>
    </row>
    <row r="31" ht="26" customHeight="1">
      <c r="A31" s="15" t="inlineStr">
        <is>
          <t>F03-01-3</t>
        </is>
      </c>
      <c r="B31" s="102" t="n"/>
      <c r="C31" s="17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7" t="n"/>
      <c r="K31" s="46">
        <f>ROUND(SUM(F31:I31),2)</f>
        <v/>
      </c>
      <c r="L31" s="17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>
        <f>ROUND(SUM(F32:I32),2)</f>
        <v/>
      </c>
      <c r="L32" s="80">
        <f>ROUND(SUM(F32:I34)+J32,2)</f>
        <v/>
      </c>
    </row>
    <row r="33" ht="26" customHeight="1">
      <c r="A33" s="15" t="inlineStr">
        <is>
          <t>F03-02-2</t>
        </is>
      </c>
      <c r="B33" s="102" t="n"/>
      <c r="C33" s="17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7" t="n"/>
      <c r="K33" s="46">
        <f>ROUND(SUM(F33:I33),2)</f>
        <v/>
      </c>
      <c r="L33" s="17" t="n"/>
    </row>
    <row r="34" ht="26" customHeight="1">
      <c r="A34" s="15" t="inlineStr">
        <is>
          <t>F03-02-3</t>
        </is>
      </c>
      <c r="B34" s="103" t="n"/>
      <c r="C34" s="17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7" t="n"/>
      <c r="K34" s="46">
        <f>ROUND(SUM(F34:I34),2)</f>
        <v/>
      </c>
      <c r="L34" s="17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>
        <f>ROUND(SUM(F35:I35),2)</f>
        <v/>
      </c>
      <c r="L35" s="83">
        <f>ROUND(SUM(F35:I37)+J35,2)</f>
        <v/>
      </c>
    </row>
    <row r="36" ht="26" customHeight="1">
      <c r="A36" s="15" t="inlineStr">
        <is>
          <t>F04-01-2</t>
        </is>
      </c>
      <c r="B36" s="102" t="n"/>
      <c r="C36" s="17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7" t="n"/>
      <c r="K36" s="46">
        <f>ROUND(SUM(F36:I36),2)</f>
        <v/>
      </c>
      <c r="L36" s="17" t="n"/>
    </row>
    <row r="37" ht="26" customHeight="1">
      <c r="A37" s="15" t="inlineStr">
        <is>
          <t>F04-01-3</t>
        </is>
      </c>
      <c r="B37" s="102" t="n"/>
      <c r="C37" s="17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7" t="n"/>
      <c r="K37" s="46">
        <f>ROUND(SUM(F37:I37),2)</f>
        <v/>
      </c>
      <c r="L37" s="17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>
        <f>ROUND(SUM(F38:I38),2)</f>
        <v/>
      </c>
      <c r="L38" s="83">
        <f>ROUND(SUM(F38:I40)+J38,2)</f>
        <v/>
      </c>
    </row>
    <row r="39" ht="26" customHeight="1">
      <c r="A39" s="15" t="inlineStr">
        <is>
          <t>F04-02-2</t>
        </is>
      </c>
      <c r="B39" s="102" t="n"/>
      <c r="C39" s="17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7" t="n"/>
      <c r="K39" s="46">
        <f>ROUND(SUM(F39:I39),2)</f>
        <v/>
      </c>
      <c r="L39" s="17" t="n"/>
    </row>
    <row r="40" ht="26" customHeight="1">
      <c r="A40" s="15" t="inlineStr">
        <is>
          <t>F04-02-3</t>
        </is>
      </c>
      <c r="B40" s="102" t="n"/>
      <c r="C40" s="17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7" t="n"/>
      <c r="K40" s="46">
        <f>ROUND(SUM(F40:I40),2)</f>
        <v/>
      </c>
      <c r="L40" s="17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>
        <f>ROUND(SUM(F41:I41),2)</f>
        <v/>
      </c>
      <c r="L41" s="83">
        <f>ROUND(SUM(F41:I43)+J41,2)</f>
        <v/>
      </c>
    </row>
    <row r="42" ht="26" customHeight="1">
      <c r="A42" s="15" t="inlineStr">
        <is>
          <t>F04-03-2</t>
        </is>
      </c>
      <c r="B42" s="102" t="n"/>
      <c r="C42" s="17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7" t="n"/>
      <c r="K42" s="46">
        <f>ROUND(SUM(F42:I42),2)</f>
        <v/>
      </c>
      <c r="L42" s="17" t="n"/>
    </row>
    <row r="43" ht="26" customHeight="1">
      <c r="A43" s="15" t="inlineStr">
        <is>
          <t>F04-03-3</t>
        </is>
      </c>
      <c r="B43" s="103" t="n"/>
      <c r="C43" s="17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7" t="n"/>
      <c r="K43" s="46">
        <f>ROUND(SUM(F43:I43),2)</f>
        <v/>
      </c>
      <c r="L43" s="17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>
        <f>ROUND(SUM(F44:I44),2)</f>
        <v/>
      </c>
      <c r="L44" s="105">
        <f>ROUND(SUM(F44:I46)+J44,2)</f>
        <v/>
      </c>
    </row>
    <row r="45" ht="26" customHeight="1">
      <c r="A45" s="15" t="inlineStr">
        <is>
          <t>F05-01-2</t>
        </is>
      </c>
      <c r="B45" s="102" t="n"/>
      <c r="C45" s="17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7" t="n"/>
      <c r="K45" s="46">
        <f>ROUND(SUM(F45:I45),2)</f>
        <v/>
      </c>
      <c r="L45" s="17" t="n"/>
    </row>
    <row r="46" ht="26" customHeight="1">
      <c r="A46" s="15" t="inlineStr">
        <is>
          <t>F05-01-3</t>
        </is>
      </c>
      <c r="B46" s="102" t="n"/>
      <c r="C46" s="17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7" t="n"/>
      <c r="K46" s="46">
        <f>ROUND(SUM(F46:I46),2)</f>
        <v/>
      </c>
      <c r="L46" s="17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>
        <f>ROUND(SUM(F47:I47),2)</f>
        <v/>
      </c>
      <c r="L47" s="105">
        <f>ROUND(SUM(F47:I48)+J47,2)</f>
        <v/>
      </c>
    </row>
    <row r="48" ht="26" customHeight="1">
      <c r="A48" s="15" t="inlineStr">
        <is>
          <t>F05-02-2</t>
        </is>
      </c>
      <c r="B48" s="102" t="n"/>
      <c r="C48" s="17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7" t="n"/>
      <c r="K48" s="46">
        <f>ROUND(SUM(F48:I48),2)</f>
        <v/>
      </c>
      <c r="L48" s="17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>
        <f>ROUND(SUM(F49:I49),2)</f>
        <v/>
      </c>
      <c r="L49" s="105">
        <f>ROUND(SUM(F49:I50)+J49,2)</f>
        <v/>
      </c>
    </row>
    <row r="50" ht="26" customHeight="1">
      <c r="A50" s="15" t="inlineStr">
        <is>
          <t>F05-03-2</t>
        </is>
      </c>
      <c r="B50" s="102" t="n"/>
      <c r="C50" s="17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7" t="n"/>
      <c r="K50" s="46">
        <f>ROUND(SUM(F50:I50),2)</f>
        <v/>
      </c>
      <c r="L50" s="17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>
        <f>ROUND(SUM(F51:I51),2)</f>
        <v/>
      </c>
      <c r="L51" s="105">
        <f>ROUND(SUM(F51:I52)+J51,2)</f>
        <v/>
      </c>
    </row>
    <row r="52" ht="26" customHeight="1">
      <c r="A52" s="15" t="inlineStr">
        <is>
          <t>F05-04-2</t>
        </is>
      </c>
      <c r="B52" s="102" t="n"/>
      <c r="C52" s="17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7" t="n"/>
      <c r="K52" s="46">
        <f>ROUND(SUM(F52:I52),2)</f>
        <v/>
      </c>
      <c r="L52" s="17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2</v>
      </c>
      <c r="I53" s="46" t="n">
        <v>0.5</v>
      </c>
      <c r="J53" s="105" t="n">
        <v>0.5</v>
      </c>
      <c r="K53" s="46">
        <f>ROUND(SUM(F53:I53),2)</f>
        <v/>
      </c>
      <c r="L53" s="105">
        <f>ROUND(SUM(F53:I55)+J53,2)</f>
        <v/>
      </c>
    </row>
    <row r="54" ht="26" customHeight="1">
      <c r="A54" s="15" t="inlineStr">
        <is>
          <t>F05-05-2</t>
        </is>
      </c>
      <c r="B54" s="102" t="n"/>
      <c r="C54" s="17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7" t="n"/>
      <c r="K54" s="46">
        <f>ROUND(SUM(F54:I54),2)</f>
        <v/>
      </c>
      <c r="L54" s="17" t="n"/>
    </row>
    <row r="55" ht="26" customHeight="1">
      <c r="A55" s="15" t="inlineStr">
        <is>
          <t>F05-05-3</t>
        </is>
      </c>
      <c r="B55" s="103" t="n"/>
      <c r="C55" s="17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7" t="n"/>
      <c r="K55" s="46">
        <f>ROUND(SUM(F55:I55),2)</f>
        <v/>
      </c>
      <c r="L55" s="17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>
        <f>ROUND(SUM(F56:I56),2)</f>
        <v/>
      </c>
      <c r="L56" s="89">
        <f>ROUND(SUM(F56:I58)+J56,2)</f>
        <v/>
      </c>
    </row>
    <row r="57" ht="26" customHeight="1">
      <c r="A57" s="15" t="inlineStr">
        <is>
          <t>F06-01-2</t>
        </is>
      </c>
      <c r="B57" s="102" t="n"/>
      <c r="C57" s="17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7" t="n"/>
      <c r="K57" s="46">
        <f>ROUND(SUM(F57:I57),2)</f>
        <v/>
      </c>
      <c r="L57" s="17" t="n"/>
    </row>
    <row r="58" ht="26" customHeight="1">
      <c r="A58" s="15" t="inlineStr">
        <is>
          <t>F06-01-3</t>
        </is>
      </c>
      <c r="B58" s="102" t="n"/>
      <c r="C58" s="17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7" t="n"/>
      <c r="K58" s="46">
        <f>ROUND(SUM(F58:I58),2)</f>
        <v/>
      </c>
      <c r="L58" s="17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>
        <f>ROUND(SUM(F59:I59),2)</f>
        <v/>
      </c>
      <c r="L59" s="89">
        <f>ROUND(SUM(F59:I60)+J59,2)</f>
        <v/>
      </c>
    </row>
    <row r="60" ht="26" customHeight="1">
      <c r="A60" s="15" t="inlineStr">
        <is>
          <t>F06-02-2</t>
        </is>
      </c>
      <c r="B60" s="102" t="n"/>
      <c r="C60" s="17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7" t="n"/>
      <c r="K60" s="46">
        <f>ROUND(SUM(F60:I60),2)</f>
        <v/>
      </c>
      <c r="L60" s="17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>
        <f>ROUND(SUM(F61:I61),2)</f>
        <v/>
      </c>
      <c r="L61" s="89">
        <f>ROUND(SUM(F61:I62)+J61,2)</f>
        <v/>
      </c>
    </row>
    <row r="62" ht="26" customHeight="1">
      <c r="A62" s="15" t="inlineStr">
        <is>
          <t>F06-03-2</t>
        </is>
      </c>
      <c r="B62" s="103" t="n"/>
      <c r="C62" s="17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7" t="n"/>
      <c r="K62" s="46">
        <f>ROUND(SUM(F62:I62),2)</f>
        <v/>
      </c>
      <c r="L62" s="17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>
        <f>ROUND(SUM(F63:I63),2)</f>
        <v/>
      </c>
      <c r="L63" s="92">
        <f>ROUND(SUM(F63:I65)+J63,2)</f>
        <v/>
      </c>
    </row>
    <row r="64" ht="26" customHeight="1">
      <c r="A64" s="15" t="inlineStr">
        <is>
          <t>F08-01-2</t>
        </is>
      </c>
      <c r="B64" s="102" t="n"/>
      <c r="C64" s="17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1.5</v>
      </c>
      <c r="H64" s="46" t="n">
        <v>0.5</v>
      </c>
      <c r="I64" s="46" t="n">
        <v>0.5</v>
      </c>
      <c r="J64" s="17" t="n"/>
      <c r="K64" s="46">
        <f>ROUND(SUM(F64:I64),2)</f>
        <v/>
      </c>
      <c r="L64" s="17" t="n"/>
    </row>
    <row r="65" ht="26" customHeight="1">
      <c r="A65" s="15" t="inlineStr">
        <is>
          <t>F08-01-3</t>
        </is>
      </c>
      <c r="B65" s="102" t="n"/>
      <c r="C65" s="17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7" t="n"/>
      <c r="K65" s="46">
        <f>ROUND(SUM(F65:I65),2)</f>
        <v/>
      </c>
      <c r="L65" s="17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>
        <f>ROUND(SUM(F66:I66),2)</f>
        <v/>
      </c>
      <c r="L66" s="92">
        <f>ROUND(SUM(F66:I67)+J66,2)</f>
        <v/>
      </c>
    </row>
    <row r="67" ht="26" customHeight="1">
      <c r="A67" s="15" t="inlineStr">
        <is>
          <t>F08-02-2</t>
        </is>
      </c>
      <c r="B67" s="102" t="n"/>
      <c r="C67" s="17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7" t="n"/>
      <c r="K67" s="46">
        <f>ROUND(SUM(F67:I67),2)</f>
        <v/>
      </c>
      <c r="L67" s="17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>
        <f>ROUND(SUM(F68:I68),2)</f>
        <v/>
      </c>
      <c r="L68" s="92">
        <f>ROUND(SUM(F68:I70)+J68,2)</f>
        <v/>
      </c>
    </row>
    <row r="69" ht="26" customHeight="1">
      <c r="A69" s="15" t="inlineStr">
        <is>
          <t>F08-03-2</t>
        </is>
      </c>
      <c r="B69" s="102" t="n"/>
      <c r="C69" s="17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7" t="n"/>
      <c r="K69" s="46">
        <f>ROUND(SUM(F69:I69),2)</f>
        <v/>
      </c>
      <c r="L69" s="17" t="n"/>
    </row>
    <row r="70" ht="26" customHeight="1">
      <c r="A70" s="15" t="inlineStr">
        <is>
          <t>F08-03-3</t>
        </is>
      </c>
      <c r="B70" s="102" t="n"/>
      <c r="C70" s="17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7" t="n"/>
      <c r="K70" s="46">
        <f>ROUND(SUM(F70:I70),2)</f>
        <v/>
      </c>
      <c r="L70" s="17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>
        <f>ROUND(SUM(F71:I71),2)</f>
        <v/>
      </c>
      <c r="L71" s="92">
        <f>ROUND(SUM(F71:I72)+J71,2)</f>
        <v/>
      </c>
    </row>
    <row r="72" ht="26" customHeight="1">
      <c r="A72" s="15" t="inlineStr">
        <is>
          <t>F08-04-2</t>
        </is>
      </c>
      <c r="B72" s="102" t="n"/>
      <c r="C72" s="17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7" t="n"/>
      <c r="K72" s="46">
        <f>ROUND(SUM(F72:I72),2)</f>
        <v/>
      </c>
      <c r="L72" s="17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>
        <f>ROUND(SUM(F73:I73),2)</f>
        <v/>
      </c>
      <c r="L73" s="92">
        <f>ROUND(SUM(F73:I74)+J73,2)</f>
        <v/>
      </c>
    </row>
    <row r="74" ht="26" customHeight="1">
      <c r="A74" s="15" t="inlineStr">
        <is>
          <t>F08-05-2</t>
        </is>
      </c>
      <c r="B74" s="103" t="n"/>
      <c r="C74" s="17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7" t="n"/>
      <c r="K74" s="46">
        <f>ROUND(SUM(F74:I74),2)</f>
        <v/>
      </c>
      <c r="L74" s="17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>
        <f>ROUND(SUM(F75:I75),2)</f>
        <v/>
      </c>
      <c r="L75" s="86">
        <f>ROUND(SUM(F75:I79)+J75,2)</f>
        <v/>
      </c>
    </row>
    <row r="76" ht="26" customHeight="1">
      <c r="A76" s="15" t="inlineStr">
        <is>
          <t>N1-2</t>
        </is>
      </c>
      <c r="B76" s="102" t="n"/>
      <c r="C76" s="17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7" t="n"/>
      <c r="K76" s="46">
        <f>ROUND(SUM(F76:I76),2)</f>
        <v/>
      </c>
      <c r="L76" s="17" t="n"/>
    </row>
    <row r="77" ht="26" customHeight="1">
      <c r="A77" s="15" t="inlineStr">
        <is>
          <t>N1-3</t>
        </is>
      </c>
      <c r="B77" s="102" t="n"/>
      <c r="C77" s="17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7" t="n"/>
      <c r="K77" s="46">
        <f>ROUND(SUM(F77:I77),2)</f>
        <v/>
      </c>
      <c r="L77" s="17" t="n"/>
    </row>
    <row r="78" ht="26" customHeight="1">
      <c r="A78" s="15" t="inlineStr">
        <is>
          <t>N1-4</t>
        </is>
      </c>
      <c r="B78" s="102" t="n"/>
      <c r="C78" s="17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7" t="n"/>
      <c r="K78" s="46">
        <f>ROUND(SUM(F78:I78),2)</f>
        <v/>
      </c>
      <c r="L78" s="17" t="n"/>
    </row>
    <row r="79" ht="26" customHeight="1">
      <c r="A79" s="15" t="inlineStr">
        <is>
          <t>N1-5</t>
        </is>
      </c>
      <c r="B79" s="102" t="n"/>
      <c r="C79" s="17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7" t="n"/>
      <c r="K79" s="46">
        <f>ROUND(SUM(F79:I79),2)</f>
        <v/>
      </c>
      <c r="L79" s="17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>
        <f>ROUND(SUM(F80:I80),2)</f>
        <v/>
      </c>
      <c r="L80" s="86">
        <f>ROUND(SUM(F80:I84)+J80,2)</f>
        <v/>
      </c>
    </row>
    <row r="81" ht="26" customHeight="1">
      <c r="A81" s="15" t="inlineStr">
        <is>
          <t>N2-2</t>
        </is>
      </c>
      <c r="B81" s="102" t="n"/>
      <c r="C81" s="17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7" t="n"/>
      <c r="K81" s="46">
        <f>ROUND(SUM(F81:I81),2)</f>
        <v/>
      </c>
      <c r="L81" s="17" t="n"/>
    </row>
    <row r="82" ht="26" customHeight="1">
      <c r="A82" s="15" t="inlineStr">
        <is>
          <t>N2-3</t>
        </is>
      </c>
      <c r="B82" s="102" t="n"/>
      <c r="C82" s="17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7" t="n"/>
      <c r="K82" s="46">
        <f>ROUND(SUM(F82:I82),2)</f>
        <v/>
      </c>
      <c r="L82" s="17" t="n"/>
    </row>
    <row r="83" ht="26" customHeight="1">
      <c r="A83" s="15" t="inlineStr">
        <is>
          <t>N2-4</t>
        </is>
      </c>
      <c r="B83" s="102" t="n"/>
      <c r="C83" s="17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7" t="n"/>
      <c r="K83" s="46">
        <f>ROUND(SUM(F83:I83),2)</f>
        <v/>
      </c>
      <c r="L83" s="17" t="n"/>
    </row>
    <row r="84" ht="26" customHeight="1">
      <c r="A84" s="15" t="inlineStr">
        <is>
          <t>N2-5</t>
        </is>
      </c>
      <c r="B84" s="102" t="n"/>
      <c r="C84" s="17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7" t="n"/>
      <c r="K84" s="46">
        <f>ROUND(SUM(F84:I84),2)</f>
        <v/>
      </c>
      <c r="L84" s="17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>
        <f>ROUND(SUM(F85:I85),2)</f>
        <v/>
      </c>
      <c r="L85" s="86">
        <f>ROUND(SUM(F85:I89)+J85,2)</f>
        <v/>
      </c>
    </row>
    <row r="86" ht="26" customHeight="1">
      <c r="A86" s="15" t="inlineStr">
        <is>
          <t>N3-2</t>
        </is>
      </c>
      <c r="B86" s="102" t="n"/>
      <c r="C86" s="17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7" t="n"/>
      <c r="K86" s="46">
        <f>ROUND(SUM(F86:I86),2)</f>
        <v/>
      </c>
      <c r="L86" s="17" t="n"/>
    </row>
    <row r="87" ht="26" customHeight="1">
      <c r="A87" s="15" t="inlineStr">
        <is>
          <t>N3-3</t>
        </is>
      </c>
      <c r="B87" s="102" t="n"/>
      <c r="C87" s="17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7" t="n"/>
      <c r="K87" s="46">
        <f>ROUND(SUM(F87:I87),2)</f>
        <v/>
      </c>
      <c r="L87" s="17" t="n"/>
    </row>
    <row r="88" ht="26" customHeight="1">
      <c r="A88" s="15" t="inlineStr">
        <is>
          <t>N3-4</t>
        </is>
      </c>
      <c r="B88" s="102" t="n"/>
      <c r="C88" s="17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7" t="n"/>
      <c r="K88" s="46">
        <f>ROUND(SUM(F88:I88),2)</f>
        <v/>
      </c>
      <c r="L88" s="17" t="n"/>
    </row>
    <row r="89" ht="26" customHeight="1">
      <c r="A89" s="15" t="inlineStr">
        <is>
          <t>N3-5</t>
        </is>
      </c>
      <c r="B89" s="102" t="n"/>
      <c r="C89" s="17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7" t="n"/>
      <c r="K89" s="46">
        <f>ROUND(SUM(F89:I89),2)</f>
        <v/>
      </c>
      <c r="L89" s="17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Azure DevOps连接K8s与CI/CD部署流水线</t>
        </is>
      </c>
      <c r="E90" s="32" t="inlineStr">
        <is>
          <t>Service Connection/命名空间RBAC授权、构建→镜像→部署K8s流水线（测试/生产两套）、生产环境审批门禁</t>
        </is>
      </c>
      <c r="F90" s="46" t="n"/>
      <c r="G90" s="46" t="n">
        <v>1.25</v>
      </c>
      <c r="H90" s="46" t="n">
        <v>0.5</v>
      </c>
      <c r="I90" s="46" t="n"/>
      <c r="J90" s="86" t="n">
        <v>0.5</v>
      </c>
      <c r="K90" s="46">
        <f>ROUND(SUM(F90:I90),2)</f>
        <v/>
      </c>
      <c r="L90" s="86">
        <f>ROUND(SUM(F90:I94)+J90,2)</f>
        <v/>
      </c>
    </row>
    <row r="91" ht="26" customHeight="1">
      <c r="A91" s="15" t="inlineStr">
        <is>
          <t>N4-2</t>
        </is>
      </c>
      <c r="B91" s="102" t="n"/>
      <c r="C91" s="17" t="n"/>
      <c r="D91" s="32" t="inlineStr">
        <is>
          <t>K8s发布清单与环境配置</t>
        </is>
      </c>
      <c r="E91" s="32" t="inlineStr">
        <is>
          <t>原生清单Deployment/Service/Ingress/ConfigMap+Secret（不用Helm）、测试/生产两套配置、镜像标签策略/发布Runbook</t>
        </is>
      </c>
      <c r="F91" s="46" t="n"/>
      <c r="G91" s="46" t="n">
        <v>1</v>
      </c>
      <c r="H91" s="46" t="n">
        <v>0.25</v>
      </c>
      <c r="I91" s="46" t="n"/>
      <c r="J91" s="17" t="n"/>
      <c r="K91" s="46">
        <f>ROUND(SUM(F91:I91),2)</f>
        <v/>
      </c>
      <c r="L91" s="17" t="n"/>
    </row>
    <row r="92" ht="26" customHeight="1">
      <c r="A92" s="15" t="inlineStr">
        <is>
          <t>N4-3</t>
        </is>
      </c>
      <c r="B92" s="102" t="n"/>
      <c r="C92" s="17" t="n"/>
      <c r="D92" s="32" t="inlineStr">
        <is>
          <t>测试环境先期部署</t>
        </is>
      </c>
      <c r="E92" s="32" t="inlineStr">
        <is>
          <t>早期先部署测试环境（供联调/集成/系统测试）、随迭代由流水线自动更新</t>
        </is>
      </c>
      <c r="F92" s="46" t="n"/>
      <c r="G92" s="46" t="n"/>
      <c r="H92" s="46" t="n">
        <v>0.5</v>
      </c>
      <c r="I92" s="46" t="n">
        <v>0.25</v>
      </c>
      <c r="J92" s="17" t="n"/>
      <c r="K92" s="46">
        <f>ROUND(SUM(F92:I92),2)</f>
        <v/>
      </c>
      <c r="L92" s="17" t="n"/>
    </row>
    <row r="93" ht="26" customHeight="1">
      <c r="A93" s="15" t="inlineStr">
        <is>
          <t>N4-4</t>
        </is>
      </c>
      <c r="B93" s="102" t="n"/>
      <c r="C93" s="17" t="n"/>
      <c r="D93" s="32" t="inlineStr">
        <is>
          <t>部署预演与回退预案</t>
        </is>
      </c>
      <c r="E93" s="32" t="inlineStr">
        <is>
          <t>预生产完整演练、回退验证</t>
        </is>
      </c>
      <c r="F93" s="46" t="n"/>
      <c r="G93" s="46" t="n"/>
      <c r="H93" s="46" t="n">
        <v>0.5</v>
      </c>
      <c r="I93" s="46" t="n"/>
      <c r="J93" s="17" t="n"/>
      <c r="K93" s="46">
        <f>ROUND(SUM(F93:I93),2)</f>
        <v/>
      </c>
      <c r="L93" s="17" t="n"/>
    </row>
    <row r="94" ht="26" customHeight="1">
      <c r="A94" s="15" t="inlineStr">
        <is>
          <t>N4-5</t>
        </is>
      </c>
      <c r="B94" s="102" t="n"/>
      <c r="C94" s="17" t="n"/>
      <c r="D94" s="32" t="inlineStr">
        <is>
          <t>上线值守与运维交接</t>
        </is>
      </c>
      <c r="E94" s="32" t="inlineStr">
        <is>
          <t>上线窗口值守、运维交接与培训材料</t>
        </is>
      </c>
      <c r="F94" s="46" t="n"/>
      <c r="G94" s="46" t="n">
        <v>1</v>
      </c>
      <c r="H94" s="46" t="n">
        <v>0.25</v>
      </c>
      <c r="I94" s="46" t="n"/>
      <c r="J94" s="17" t="n"/>
      <c r="K94" s="46">
        <f>ROUND(SUM(F94:I94),2)</f>
        <v/>
      </c>
      <c r="L94" s="17" t="n"/>
    </row>
    <row r="95" ht="26" customHeight="1">
      <c r="A95" s="15" t="inlineStr">
        <is>
          <t>N5-1</t>
        </is>
      </c>
      <c r="B95" s="102" t="n"/>
      <c r="C95" s="99" t="inlineStr">
        <is>
          <t>开发侧文档（架构/设计/接口）</t>
        </is>
      </c>
      <c r="D95" s="32" t="inlineStr">
        <is>
          <t>架构与总体设计文档</t>
        </is>
      </c>
      <c r="E95" s="32" t="inlineStr">
        <is>
          <t>架构图/部署视图/ADR汇编成文（Wade提供）</t>
        </is>
      </c>
      <c r="F95" s="46" t="n"/>
      <c r="G95" s="46" t="n">
        <v>1.5</v>
      </c>
      <c r="H95" s="46" t="n"/>
      <c r="I95" s="46" t="n"/>
      <c r="J95" s="86" t="n">
        <v>0.5</v>
      </c>
      <c r="K95" s="46">
        <f>ROUND(SUM(F95:I95),2)</f>
        <v/>
      </c>
      <c r="L95" s="86">
        <f>ROUND(SUM(F95:I97)+J95,2)</f>
        <v/>
      </c>
    </row>
    <row r="96" ht="26" customHeight="1">
      <c r="A96" s="15" t="inlineStr">
        <is>
          <t>N5-2</t>
        </is>
      </c>
      <c r="B96" s="102" t="n"/>
      <c r="C96" s="17" t="n"/>
      <c r="D96" s="32" t="inlineStr">
        <is>
          <t>应用接口与模块设计文档</t>
        </is>
      </c>
      <c r="E96" s="32" t="inlineStr">
        <is>
          <t>OpenAPI导出+模块设计说明（Wade提供）</t>
        </is>
      </c>
      <c r="F96" s="46" t="n"/>
      <c r="G96" s="46" t="n">
        <v>1</v>
      </c>
      <c r="H96" s="46" t="n"/>
      <c r="I96" s="46" t="n"/>
      <c r="J96" s="17" t="n"/>
      <c r="K96" s="46">
        <f>ROUND(SUM(F96:I96),2)</f>
        <v/>
      </c>
      <c r="L96" s="17" t="n"/>
    </row>
    <row r="97" ht="26" customHeight="1">
      <c r="A97" s="15" t="inlineStr">
        <is>
          <t>N5-3</t>
        </is>
      </c>
      <c r="B97" s="103" t="n"/>
      <c r="C97" s="17" t="n"/>
      <c r="D97" s="32" t="inlineStr">
        <is>
          <t>数据设计与ETL/作业文档</t>
        </is>
      </c>
      <c r="E97" s="32" t="inlineStr">
        <is>
          <t>分层设计/数据字典/ETL与作业说明（DevB提供）</t>
        </is>
      </c>
      <c r="F97" s="46" t="n"/>
      <c r="G97" s="46" t="n"/>
      <c r="H97" s="46" t="n">
        <v>1.5</v>
      </c>
      <c r="I97" s="46" t="n"/>
      <c r="J97" s="17" t="n"/>
      <c r="K97" s="46">
        <f>ROUND(SUM(F97:I97),2)</f>
        <v/>
      </c>
      <c r="L97" s="17" t="n"/>
    </row>
    <row r="98">
      <c r="A98" s="8" t="inlineStr"/>
      <c r="B98" s="8" t="inlineStr">
        <is>
          <t>总计</t>
        </is>
      </c>
      <c r="C98" s="8" t="inlineStr"/>
      <c r="D98" s="93" t="inlineStr">
        <is>
          <t>25项功能×72子任务 + 非功能工程×23子任务（F04-04=Azure原生能力，不计开发）</t>
        </is>
      </c>
      <c r="E98" s="93" t="inlineStr">
        <is>
          <t>独立直估（另含少量需求/PM等工作未列入本表）</t>
        </is>
      </c>
      <c r="F98" s="44">
        <f>ROUND(SUM(F3:F97),2)</f>
        <v/>
      </c>
      <c r="G98" s="44">
        <f>ROUND(SUM(G3:G97),2)</f>
        <v/>
      </c>
      <c r="H98" s="44">
        <f>ROUND(SUM(H3:H97),2)</f>
        <v/>
      </c>
      <c r="I98" s="44">
        <f>ROUND(SUM(I3:I97),2)</f>
        <v/>
      </c>
      <c r="J98" s="44">
        <f>ROUND(SUM(J3:J97),2)</f>
        <v/>
      </c>
      <c r="K98" s="44">
        <f>ROUND(SUM(F98:J98),2)</f>
        <v/>
      </c>
      <c r="L98" s="8" t="inlineStr"/>
    </row>
    <row r="100" ht="56" customHeight="1">
      <c r="A100" s="94" t="inlineStr">
        <is>
          <t>对照说明（四个口径）：① 功能直估 155.5 人天（BA 12.25 / Wade 40.75 / DevB 56.25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195.5 人天 vs 计划185：Wade 60.0（计划60，基本持平）；DevB 70.5（超计划60约10.5）；Mandy三职 65.0（BA 12.5 + 测试 38.75 + SLC 13.75，超计划50约15.0）——角色级差异的吸收路径见下方「AI Native提效折算对照」。</t>
        </is>
      </c>
    </row>
    <row r="102" ht="16" customHeight="1">
      <c r="A102" s="114" t="inlineStr">
        <is>
          <t>AI Native提效折算对照（直估→计划185的吸收路径）：</t>
        </is>
      </c>
    </row>
    <row r="103" ht="16" customHeight="1">
      <c r="A103" s="115" t="inlineStr">
        <is>
          <t>· Mandy：直估 65.0（BA 12.5 + 测试 38.75 + SLC 13.75，SLC已按功能级预估且开发侧文档移至N5）→ 测试×0.65（AI生成用例+人工审校执行）、SLC×0.8（合稿评审）、BA不折减 → ≈48.69 ≈ 计划50 ✓</t>
        </is>
      </c>
    </row>
    <row r="104" ht="16" customHeight="1">
      <c r="A104" s="115" t="inlineStr">
        <is>
          <t>· Wade：直估 60.0（含N5开发侧文档2.5）≈ 计划60，基本持平 ✓</t>
        </is>
      </c>
    </row>
    <row r="105" ht="16" customHeight="1">
      <c r="A105" s="115" t="inlineStr">
        <is>
          <t>· DevB：直估 70.5 → ETL/SQL/作业配置AI生成×0.85 → ≈59.92 ≈ 计划60 ✓（最大风险假设：AI生成ETL需有效落地，纳入风险跟踪）</t>
        </is>
      </c>
    </row>
    <row r="106" ht="16" customHeight="1">
      <c r="A106" s="115" t="inlineStr">
        <is>
          <t>· 合计：直估 195.5 → 折算 ≈168.61 + PM 15 = 183.61 ≤ 185，余 ≈1.39 人天缓冲；若提效不达标，启用备用赶工日（9/20、10/10）</t>
        </is>
      </c>
    </row>
    <row r="108" ht="16" customHeight="1">
      <c r="A108" s="116" t="inlineStr">
        <is>
          <t>工作量合理性复查（逐项过检·不以计划170/185反推）：</t>
        </is>
      </c>
    </row>
    <row r="109" ht="16" customHeight="1">
      <c r="A109" s="117" t="inlineStr">
        <is>
          <t>· 日历容量：9/14~12/16 共62个工作日/人（已扣国庆10/1-7、中秋9/25、全部周末；另有备用赶工日9/20、10/10两个）。</t>
        </is>
      </c>
    </row>
    <row r="110" ht="45" customHeight="1">
      <c r="A110" s="117" t="inlineStr">
        <is>
          <t>· 逐项过检：95子任务全部复核，修正7处——上调4处（SeaTunnel导入作业D2→2.5、处置引擎D2.5→3、预览服务D1.5→2、ADO连接K8s与部署流水线1.25→2：按分片断点续传/物理清除/多格式转换/双环境流水线的实际工序估）；下调3处（原系统档案录入W1.5→1、角色管理界面W2→1.5、数据设计文档D2→1.5：AI生成CRUD组件与成文足够覆盖）；其余项维持——CRUD/配置类AI直估可完成、原生组件已按配置+验证计价；WBS侧关键单点复核（CI/CD搭建4人天、CC迁移演练10.5人天、系统测试全量2人天）均可完成。</t>
        </is>
      </c>
    </row>
    <row r="111" ht="16" customHeight="1">
      <c r="A111" s="117" t="inlineStr">
        <is>
          <t>· 人×日历匹配（直估÷62）：Wade 60.0＝97%；DevB 70.5＝114%⚠超出日历8.5人天；Mandy三职直估65.0＝105%（折算≈48.69＝79%）；PM Mark 15。</t>
        </is>
      </c>
    </row>
    <row r="112" ht="30" customHeight="1">
      <c r="A112" s="117" t="inlineStr">
        <is>
          <t>· 可完成性结论：总量可以完成，但须满足三个前提——①DevB的AI提效×0.85须兑现（ETL/SQL/作业配置AI生成有效落地；否则溢出约8.5人天：先启用备用赶工日2天，再将F01-02文件包解析、F05-05 Office转换移Wade或降级）；②Wade负载97%无缓冲，N5开发侧文档须AI成文；③Mandy测试×0.65依赖AI用例生成在9/30首批（2.3.3）验证落地。</t>
        </is>
      </c>
    </row>
    <row r="113" ht="30" customHeight="1">
      <c r="A113" s="117" t="inlineStr">
        <is>
          <t>· B计划（前提不兑现时按序降级范围，不影响12/16交付）：F01-02离线介质登记→上线后首月补充；F05-05预览降级为PDF/图片两类（Office转换延后）；F03-01 VACUUM物理清除→上线后首个运维窗口执行。</t>
        </is>
      </c>
    </row>
  </sheetData>
  <mergeCells count="111">
    <mergeCell ref="J35:J37"/>
    <mergeCell ref="C14:C17"/>
    <mergeCell ref="L35:L37"/>
    <mergeCell ref="L44:L46"/>
    <mergeCell ref="C95:C97"/>
    <mergeCell ref="C23:C25"/>
    <mergeCell ref="C32:C34"/>
    <mergeCell ref="C38:C40"/>
    <mergeCell ref="J59:J60"/>
    <mergeCell ref="A105:L105"/>
    <mergeCell ref="B63:B74"/>
    <mergeCell ref="A113:L113"/>
    <mergeCell ref="C71:C72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44:C46"/>
    <mergeCell ref="J51:J52"/>
    <mergeCell ref="J73:J74"/>
    <mergeCell ref="J95:J97"/>
    <mergeCell ref="L38:L40"/>
    <mergeCell ref="J32:J34"/>
    <mergeCell ref="J26:J28"/>
    <mergeCell ref="L66:L67"/>
    <mergeCell ref="L26:L28"/>
    <mergeCell ref="L63:L65"/>
    <mergeCell ref="L41:L43"/>
    <mergeCell ref="J10:J13"/>
    <mergeCell ref="J49:J50"/>
    <mergeCell ref="J18:J20"/>
    <mergeCell ref="A104:L104"/>
    <mergeCell ref="C47:C48"/>
    <mergeCell ref="J90:J94"/>
    <mergeCell ref="L90:L94"/>
    <mergeCell ref="A106:L106"/>
    <mergeCell ref="C51:C52"/>
    <mergeCell ref="J44:J46"/>
    <mergeCell ref="J53:J55"/>
    <mergeCell ref="L53:L55"/>
    <mergeCell ref="J21:J22"/>
    <mergeCell ref="L21:L22"/>
    <mergeCell ref="B3:B22"/>
    <mergeCell ref="C26:C28"/>
    <mergeCell ref="L3:L9"/>
    <mergeCell ref="A110:L110"/>
    <mergeCell ref="L29:L31"/>
    <mergeCell ref="C49:C50"/>
    <mergeCell ref="J14:J17"/>
    <mergeCell ref="L23:L25"/>
    <mergeCell ref="C73:C74"/>
    <mergeCell ref="C90:C94"/>
    <mergeCell ref="L71:L72"/>
    <mergeCell ref="A108:L108"/>
    <mergeCell ref="L56:L58"/>
    <mergeCell ref="C59:C60"/>
    <mergeCell ref="C53:C55"/>
    <mergeCell ref="J56:J58"/>
    <mergeCell ref="B75:B97"/>
    <mergeCell ref="C21:C22"/>
    <mergeCell ref="C68:C70"/>
    <mergeCell ref="L80:L84"/>
    <mergeCell ref="L10:L13"/>
    <mergeCell ref="J66:J67"/>
    <mergeCell ref="A112:L112"/>
    <mergeCell ref="B56:B62"/>
    <mergeCell ref="C29:C31"/>
    <mergeCell ref="L59:L60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J75:J79"/>
    <mergeCell ref="L73:L74"/>
    <mergeCell ref="L95:L97"/>
    <mergeCell ref="B29:B34"/>
    <mergeCell ref="J23:J25"/>
    <mergeCell ref="B23:B28"/>
    <mergeCell ref="A109:L109"/>
    <mergeCell ref="L32:L34"/>
    <mergeCell ref="C61:C62"/>
    <mergeCell ref="L51:L52"/>
    <mergeCell ref="C3:C9"/>
    <mergeCell ref="A111:L111"/>
    <mergeCell ref="L49:L50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SRS评审通过、业务方签字（SRS含非功能需求NFR基线）；26项优先级锁定；追踪矩阵建立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测试环境（K8s）先期部署就绪；登录→检索→样本数据可查全链路演示通过；CI/CD四道门禁自动；用例库v1.0完成100%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全量测试26项通过；性能专项（7.2.3）与安全可靠性专项（7.2.6）已于12/4前达标（对照NFR基线2.2.1/2.3.1）；业务方UAT签字（12/7）；缺陷关闭或书面接受；生产就绪评审通过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>
        <f>IF(ROUND(SUMPRODUCT(('WBS分解'!$C$4:$C$164=3)*('WBS分解'!$E$4:$E$164="Mark")*(LEFT('WBS分解'!$A$4:$A$164,1)="1")*'WBS分解'!$I$4:$I$164),2)=0,"",ROUND(SUMPRODUCT(('WBS分解'!$C$4:$C$164=3)*('WBS分解'!$E$4:$E$164="Mark")*(LEFT('WBS分解'!$A$4:$A$164,1)="1")*'WBS分解'!$I$4:$I$164),2))</f>
        <v/>
      </c>
      <c r="C3" s="46">
        <f>IF(ROUND(SUMPRODUCT(('WBS分解'!$C$4:$C$164=3)*('WBS分解'!$E$4:$E$164="Mark")*(LEFT('WBS分解'!$A$4:$A$164,1)="2")*'WBS分解'!$I$4:$I$164),2)=0,"",ROUND(SUMPRODUCT(('WBS分解'!$C$4:$C$164=3)*('WBS分解'!$E$4:$E$164="Mark")*(LEFT('WBS分解'!$A$4:$A$164,1)="2")*'WBS分解'!$I$4:$I$164),2))</f>
        <v/>
      </c>
      <c r="D3" s="46">
        <f>IF(ROUND(SUMPRODUCT(('WBS分解'!$C$4:$C$164=3)*('WBS分解'!$E$4:$E$164="Mark")*(LEFT('WBS分解'!$A$4:$A$164,1)="3")*'WBS分解'!$I$4:$I$164),2)=0,"",ROUND(SUMPRODUCT(('WBS分解'!$C$4:$C$164=3)*('WBS分解'!$E$4:$E$164="Mark")*(LEFT('WBS分解'!$A$4:$A$164,1)="3")*'WBS分解'!$I$4:$I$164),2))</f>
        <v/>
      </c>
      <c r="E3" s="46">
        <f>IF(ROUND(SUMPRODUCT(('WBS分解'!$C$4:$C$164=3)*('WBS分解'!$E$4:$E$164="Mark")*(LEFT('WBS分解'!$A$4:$A$164,1)="4")*'WBS分解'!$I$4:$I$164),2)=0,"",ROUND(SUMPRODUCT(('WBS分解'!$C$4:$C$164=3)*('WBS分解'!$E$4:$E$164="Mark")*(LEFT('WBS分解'!$A$4:$A$164,1)="4")*'WBS分解'!$I$4:$I$164),2))</f>
        <v/>
      </c>
      <c r="F3" s="46">
        <f>IF(ROUND(SUMPRODUCT(('WBS分解'!$C$4:$C$164=3)*('WBS分解'!$E$4:$E$164="Mark")*(LEFT('WBS分解'!$A$4:$A$164,1)="5")*'WBS分解'!$I$4:$I$164),2)=0,"",ROUND(SUMPRODUCT(('WBS分解'!$C$4:$C$164=3)*('WBS分解'!$E$4:$E$164="Mark")*(LEFT('WBS分解'!$A$4:$A$164,1)="5")*'WBS分解'!$I$4:$I$164),2))</f>
        <v/>
      </c>
      <c r="G3" s="46">
        <f>IF(ROUND(SUMPRODUCT(('WBS分解'!$C$4:$C$164=3)*('WBS分解'!$E$4:$E$164="Mark")*(LEFT('WBS分解'!$A$4:$A$164,1)="6")*'WBS分解'!$I$4:$I$164),2)=0,"",ROUND(SUMPRODUCT(('WBS分解'!$C$4:$C$164=3)*('WBS分解'!$E$4:$E$164="Mark")*(LEFT('WBS分解'!$A$4:$A$164,1)="6")*'WBS分解'!$I$4:$I$164),2))</f>
        <v/>
      </c>
      <c r="H3" s="46">
        <f>IF(ROUND(SUMPRODUCT(('WBS分解'!$C$4:$C$164=3)*('WBS分解'!$E$4:$E$164="Mark")*(LEFT('WBS分解'!$A$4:$A$164,1)="7")*'WBS分解'!$I$4:$I$164),2)=0,"",ROUND(SUMPRODUCT(('WBS分解'!$C$4:$C$164=3)*('WBS分解'!$E$4:$E$164="Mark")*(LEFT('WBS分解'!$A$4:$A$164,1)="7")*'WBS分解'!$I$4:$I$164),2))</f>
        <v/>
      </c>
      <c r="I3" s="46">
        <f>IF(ROUND(SUMPRODUCT(('WBS分解'!$C$4:$C$164=3)*('WBS分解'!$E$4:$E$164="Mark")*(LEFT('WBS分解'!$A$4:$A$164,1)="8")*'WBS分解'!$I$4:$I$164),2)=0,"",ROUND(SUMPRODUCT(('WBS分解'!$C$4:$C$164=3)*('WBS分解'!$E$4:$E$164="Mark")*(LEFT('WBS分解'!$A$4:$A$164,1)="8")*'WBS分解'!$I$4:$I$164),2))</f>
        <v/>
      </c>
      <c r="J3" s="69">
        <f>ROUND(SUM(B3:I3),2)</f>
        <v/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>
        <f>IF(ROUND(SUMPRODUCT(('WBS分解'!$C$4:$C$164=3)*('WBS分解'!$E$4:$E$164="Mandy")*(LEFT('WBS分解'!$A$4:$A$164,1)="1")*'WBS分解'!$I$4:$I$164),2)=0,"",ROUND(SUMPRODUCT(('WBS分解'!$C$4:$C$164=3)*('WBS分解'!$E$4:$E$164="Mandy")*(LEFT('WBS分解'!$A$4:$A$164,1)="1")*'WBS分解'!$I$4:$I$164),2))</f>
        <v/>
      </c>
      <c r="C4" s="46">
        <f>IF(ROUND(SUMPRODUCT(('WBS分解'!$C$4:$C$164=3)*('WBS分解'!$E$4:$E$164="Mandy")*(LEFT('WBS分解'!$A$4:$A$164,1)="2")*'WBS分解'!$I$4:$I$164),2)=0,"",ROUND(SUMPRODUCT(('WBS分解'!$C$4:$C$164=3)*('WBS分解'!$E$4:$E$164="Mandy")*(LEFT('WBS分解'!$A$4:$A$164,1)="2")*'WBS分解'!$I$4:$I$164),2))</f>
        <v/>
      </c>
      <c r="D4" s="46">
        <f>IF(ROUND(SUMPRODUCT(('WBS分解'!$C$4:$C$164=3)*('WBS分解'!$E$4:$E$164="Mandy")*(LEFT('WBS分解'!$A$4:$A$164,1)="3")*'WBS分解'!$I$4:$I$164),2)=0,"",ROUND(SUMPRODUCT(('WBS分解'!$C$4:$C$164=3)*('WBS分解'!$E$4:$E$164="Mandy")*(LEFT('WBS分解'!$A$4:$A$164,1)="3")*'WBS分解'!$I$4:$I$164),2))</f>
        <v/>
      </c>
      <c r="E4" s="46">
        <f>IF(ROUND(SUMPRODUCT(('WBS分解'!$C$4:$C$164=3)*('WBS分解'!$E$4:$E$164="Mandy")*(LEFT('WBS分解'!$A$4:$A$164,1)="4")*'WBS分解'!$I$4:$I$164),2)=0,"",ROUND(SUMPRODUCT(('WBS分解'!$C$4:$C$164=3)*('WBS分解'!$E$4:$E$164="Mandy")*(LEFT('WBS分解'!$A$4:$A$164,1)="4")*'WBS分解'!$I$4:$I$164),2))</f>
        <v/>
      </c>
      <c r="F4" s="46">
        <f>IF(ROUND(SUMPRODUCT(('WBS分解'!$C$4:$C$164=3)*('WBS分解'!$E$4:$E$164="Mandy")*(LEFT('WBS分解'!$A$4:$A$164,1)="5")*'WBS分解'!$I$4:$I$164),2)=0,"",ROUND(SUMPRODUCT(('WBS分解'!$C$4:$C$164=3)*('WBS分解'!$E$4:$E$164="Mandy")*(LEFT('WBS分解'!$A$4:$A$164,1)="5")*'WBS分解'!$I$4:$I$164),2))</f>
        <v/>
      </c>
      <c r="G4" s="46">
        <f>IF(ROUND(SUMPRODUCT(('WBS分解'!$C$4:$C$164=3)*('WBS分解'!$E$4:$E$164="Mandy")*(LEFT('WBS分解'!$A$4:$A$164,1)="6")*'WBS分解'!$I$4:$I$164),2)=0,"",ROUND(SUMPRODUCT(('WBS分解'!$C$4:$C$164=3)*('WBS分解'!$E$4:$E$164="Mandy")*(LEFT('WBS分解'!$A$4:$A$164,1)="6")*'WBS分解'!$I$4:$I$164),2))</f>
        <v/>
      </c>
      <c r="H4" s="46">
        <f>IF(ROUND(SUMPRODUCT(('WBS分解'!$C$4:$C$164=3)*('WBS分解'!$E$4:$E$164="Mandy")*(LEFT('WBS分解'!$A$4:$A$164,1)="7")*'WBS分解'!$I$4:$I$164),2)=0,"",ROUND(SUMPRODUCT(('WBS分解'!$C$4:$C$164=3)*('WBS分解'!$E$4:$E$164="Mandy")*(LEFT('WBS分解'!$A$4:$A$164,1)="7")*'WBS分解'!$I$4:$I$164),2))</f>
        <v/>
      </c>
      <c r="I4" s="46">
        <f>IF(ROUND(SUMPRODUCT(('WBS分解'!$C$4:$C$164=3)*('WBS分解'!$E$4:$E$164="Mandy")*(LEFT('WBS分解'!$A$4:$A$164,1)="8")*'WBS分解'!$I$4:$I$164),2)=0,"",ROUND(SUMPRODUCT(('WBS分解'!$C$4:$C$164=3)*('WBS分解'!$E$4:$E$164="Mandy")*(LEFT('WBS分解'!$A$4:$A$164,1)="8")*'WBS分解'!$I$4:$I$164),2))</f>
        <v/>
      </c>
      <c r="J4" s="69">
        <f>ROUND(SUM(B4:I4),2)</f>
        <v/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>
        <f>IF(ROUND(SUMPRODUCT(('WBS分解'!$C$4:$C$164=3)*('WBS分解'!$E$4:$E$164="Wade")*(LEFT('WBS分解'!$A$4:$A$164,1)="1")*'WBS分解'!$I$4:$I$164),2)=0,"",ROUND(SUMPRODUCT(('WBS分解'!$C$4:$C$164=3)*('WBS分解'!$E$4:$E$164="Wade")*(LEFT('WBS分解'!$A$4:$A$164,1)="1")*'WBS分解'!$I$4:$I$164),2))</f>
        <v/>
      </c>
      <c r="C5" s="46">
        <f>IF(ROUND(SUMPRODUCT(('WBS分解'!$C$4:$C$164=3)*('WBS分解'!$E$4:$E$164="Wade")*(LEFT('WBS分解'!$A$4:$A$164,1)="2")*'WBS分解'!$I$4:$I$164),2)=0,"",ROUND(SUMPRODUCT(('WBS分解'!$C$4:$C$164=3)*('WBS分解'!$E$4:$E$164="Wade")*(LEFT('WBS分解'!$A$4:$A$164,1)="2")*'WBS分解'!$I$4:$I$164),2))</f>
        <v/>
      </c>
      <c r="D5" s="46">
        <f>IF(ROUND(SUMPRODUCT(('WBS分解'!$C$4:$C$164=3)*('WBS分解'!$E$4:$E$164="Wade")*(LEFT('WBS分解'!$A$4:$A$164,1)="3")*'WBS分解'!$I$4:$I$164),2)=0,"",ROUND(SUMPRODUCT(('WBS分解'!$C$4:$C$164=3)*('WBS分解'!$E$4:$E$164="Wade")*(LEFT('WBS分解'!$A$4:$A$164,1)="3")*'WBS分解'!$I$4:$I$164),2))</f>
        <v/>
      </c>
      <c r="E5" s="46">
        <f>IF(ROUND(SUMPRODUCT(('WBS分解'!$C$4:$C$164=3)*('WBS分解'!$E$4:$E$164="Wade")*(LEFT('WBS分解'!$A$4:$A$164,1)="4")*'WBS分解'!$I$4:$I$164),2)=0,"",ROUND(SUMPRODUCT(('WBS分解'!$C$4:$C$164=3)*('WBS分解'!$E$4:$E$164="Wade")*(LEFT('WBS分解'!$A$4:$A$164,1)="4")*'WBS分解'!$I$4:$I$164),2))</f>
        <v/>
      </c>
      <c r="F5" s="46">
        <f>IF(ROUND(SUMPRODUCT(('WBS分解'!$C$4:$C$164=3)*('WBS分解'!$E$4:$E$164="Wade")*(LEFT('WBS分解'!$A$4:$A$164,1)="5")*'WBS分解'!$I$4:$I$164),2)=0,"",ROUND(SUMPRODUCT(('WBS分解'!$C$4:$C$164=3)*('WBS分解'!$E$4:$E$164="Wade")*(LEFT('WBS分解'!$A$4:$A$164,1)="5")*'WBS分解'!$I$4:$I$164),2))</f>
        <v/>
      </c>
      <c r="G5" s="46">
        <f>IF(ROUND(SUMPRODUCT(('WBS分解'!$C$4:$C$164=3)*('WBS分解'!$E$4:$E$164="Wade")*(LEFT('WBS分解'!$A$4:$A$164,1)="6")*'WBS分解'!$I$4:$I$164),2)=0,"",ROUND(SUMPRODUCT(('WBS分解'!$C$4:$C$164=3)*('WBS分解'!$E$4:$E$164="Wade")*(LEFT('WBS分解'!$A$4:$A$164,1)="6")*'WBS分解'!$I$4:$I$164),2))</f>
        <v/>
      </c>
      <c r="H5" s="46">
        <f>IF(ROUND(SUMPRODUCT(('WBS分解'!$C$4:$C$164=3)*('WBS分解'!$E$4:$E$164="Wade")*(LEFT('WBS分解'!$A$4:$A$164,1)="7")*'WBS分解'!$I$4:$I$164),2)=0,"",ROUND(SUMPRODUCT(('WBS分解'!$C$4:$C$164=3)*('WBS分解'!$E$4:$E$164="Wade")*(LEFT('WBS分解'!$A$4:$A$164,1)="7")*'WBS分解'!$I$4:$I$164),2))</f>
        <v/>
      </c>
      <c r="I5" s="46">
        <f>IF(ROUND(SUMPRODUCT(('WBS分解'!$C$4:$C$164=3)*('WBS分解'!$E$4:$E$164="Wade")*(LEFT('WBS分解'!$A$4:$A$164,1)="8")*'WBS分解'!$I$4:$I$164),2)=0,"",ROUND(SUMPRODUCT(('WBS分解'!$C$4:$C$164=3)*('WBS分解'!$E$4:$E$164="Wade")*(LEFT('WBS分解'!$A$4:$A$164,1)="8")*'WBS分解'!$I$4:$I$164),2))</f>
        <v/>
      </c>
      <c r="J5" s="69">
        <f>ROUND(SUM(B5:I5),2)</f>
        <v/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>
        <f>IF(ROUND(SUMPRODUCT(('WBS分解'!$C$4:$C$164=3)*('WBS分解'!$E$4:$E$164="DevB")*(LEFT('WBS分解'!$A$4:$A$164,1)="1")*'WBS分解'!$I$4:$I$164),2)=0,"",ROUND(SUMPRODUCT(('WBS分解'!$C$4:$C$164=3)*('WBS分解'!$E$4:$E$164="DevB")*(LEFT('WBS分解'!$A$4:$A$164,1)="1")*'WBS分解'!$I$4:$I$164),2))</f>
        <v/>
      </c>
      <c r="C6" s="46">
        <f>IF(ROUND(SUMPRODUCT(('WBS分解'!$C$4:$C$164=3)*('WBS分解'!$E$4:$E$164="DevB")*(LEFT('WBS分解'!$A$4:$A$164,1)="2")*'WBS分解'!$I$4:$I$164),2)=0,"",ROUND(SUMPRODUCT(('WBS分解'!$C$4:$C$164=3)*('WBS分解'!$E$4:$E$164="DevB")*(LEFT('WBS分解'!$A$4:$A$164,1)="2")*'WBS分解'!$I$4:$I$164),2))</f>
        <v/>
      </c>
      <c r="D6" s="46">
        <f>IF(ROUND(SUMPRODUCT(('WBS分解'!$C$4:$C$164=3)*('WBS分解'!$E$4:$E$164="DevB")*(LEFT('WBS分解'!$A$4:$A$164,1)="3")*'WBS分解'!$I$4:$I$164),2)=0,"",ROUND(SUMPRODUCT(('WBS分解'!$C$4:$C$164=3)*('WBS分解'!$E$4:$E$164="DevB")*(LEFT('WBS分解'!$A$4:$A$164,1)="3")*'WBS分解'!$I$4:$I$164),2))</f>
        <v/>
      </c>
      <c r="E6" s="46">
        <f>IF(ROUND(SUMPRODUCT(('WBS分解'!$C$4:$C$164=3)*('WBS分解'!$E$4:$E$164="DevB")*(LEFT('WBS分解'!$A$4:$A$164,1)="4")*'WBS分解'!$I$4:$I$164),2)=0,"",ROUND(SUMPRODUCT(('WBS分解'!$C$4:$C$164=3)*('WBS分解'!$E$4:$E$164="DevB")*(LEFT('WBS分解'!$A$4:$A$164,1)="4")*'WBS分解'!$I$4:$I$164),2))</f>
        <v/>
      </c>
      <c r="F6" s="46">
        <f>IF(ROUND(SUMPRODUCT(('WBS分解'!$C$4:$C$164=3)*('WBS分解'!$E$4:$E$164="DevB")*(LEFT('WBS分解'!$A$4:$A$164,1)="5")*'WBS分解'!$I$4:$I$164),2)=0,"",ROUND(SUMPRODUCT(('WBS分解'!$C$4:$C$164=3)*('WBS分解'!$E$4:$E$164="DevB")*(LEFT('WBS分解'!$A$4:$A$164,1)="5")*'WBS分解'!$I$4:$I$164),2))</f>
        <v/>
      </c>
      <c r="G6" s="46">
        <f>IF(ROUND(SUMPRODUCT(('WBS分解'!$C$4:$C$164=3)*('WBS分解'!$E$4:$E$164="DevB")*(LEFT('WBS分解'!$A$4:$A$164,1)="6")*'WBS分解'!$I$4:$I$164),2)=0,"",ROUND(SUMPRODUCT(('WBS分解'!$C$4:$C$164=3)*('WBS分解'!$E$4:$E$164="DevB")*(LEFT('WBS分解'!$A$4:$A$164,1)="6")*'WBS分解'!$I$4:$I$164),2))</f>
        <v/>
      </c>
      <c r="H6" s="46">
        <f>IF(ROUND(SUMPRODUCT(('WBS分解'!$C$4:$C$164=3)*('WBS分解'!$E$4:$E$164="DevB")*(LEFT('WBS分解'!$A$4:$A$164,1)="7")*'WBS分解'!$I$4:$I$164),2)=0,"",ROUND(SUMPRODUCT(('WBS分解'!$C$4:$C$164=3)*('WBS分解'!$E$4:$E$164="DevB")*(LEFT('WBS分解'!$A$4:$A$164,1)="7")*'WBS分解'!$I$4:$I$164),2))</f>
        <v/>
      </c>
      <c r="I6" s="46">
        <f>IF(ROUND(SUMPRODUCT(('WBS分解'!$C$4:$C$164=3)*('WBS分解'!$E$4:$E$164="DevB")*(LEFT('WBS分解'!$A$4:$A$164,1)="8")*'WBS分解'!$I$4:$I$164),2)=0,"",ROUND(SUMPRODUCT(('WBS分解'!$C$4:$C$164=3)*('WBS分解'!$E$4:$E$164="DevB")*(LEFT('WBS分解'!$A$4:$A$164,1)="8")*'WBS分解'!$I$4:$I$164),2))</f>
        <v/>
      </c>
      <c r="J6" s="69">
        <f>ROUND(SUM(B6:I6),2)</f>
        <v/>
      </c>
      <c r="K6" t="inlineStr">
        <is>
          <t>负荷率 97%（62个工作日）</t>
        </is>
      </c>
    </row>
    <row r="7">
      <c r="A7" s="38" t="inlineStr">
        <is>
          <t>合计</t>
        </is>
      </c>
      <c r="B7">
        <f>ROUND(SUM(B3:B6),2)</f>
        <v/>
      </c>
      <c r="C7">
        <f>ROUND(SUM(C3:C6),2)</f>
        <v/>
      </c>
      <c r="D7">
        <f>ROUND(SUM(D3:D6),2)</f>
        <v/>
      </c>
      <c r="E7">
        <f>ROUND(SUM(E3:E6),2)</f>
        <v/>
      </c>
      <c r="F7">
        <f>ROUND(SUM(F3:F6),2)</f>
        <v/>
      </c>
      <c r="G7">
        <f>ROUND(SUM(G3:G6),2)</f>
        <v/>
      </c>
      <c r="H7">
        <f>ROUND(SUM(H3:H6),2)</f>
        <v/>
      </c>
      <c r="I7">
        <f>ROUND(SUM(I3:I6),2)</f>
        <v/>
      </c>
      <c r="J7" s="70">
        <f>ROUND(SUM(J3:J6),2)</f>
        <v/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NFR测试可执行化</t>
        </is>
      </c>
      <c r="C5" s="32" t="inlineStr">
        <is>
          <t>将SRS中已冻结的NFR基线（性能/安全/合规/可用性/容量）细化为可测的验收标准与用例集，供集成初验（6.3.2）与专项验证（7.2.3/7.2.6）逐项对照。</t>
        </is>
      </c>
      <c r="D5" s="32" t="inlineStr">
        <is>
          <t>NFR可测验收标准清单</t>
        </is>
      </c>
      <c r="E5" s="32" t="inlineStr">
        <is>
          <t>每项NFR有量化指标、测试方法与通过阈值；与2.2.1基线一一对应，无新增无遗漏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四道安全门禁CI/CD搭建（4人天，含K8s连接与部署流水线）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DevOps流水线：构建+镜像+SAST静态扫描/依赖扫描/密钥扫描/越权与掩码旁路用例四道硬门禁；含扫描工具接入、越权用例门禁开发与拦截样例演示，任何合入必须过门禁。部署侧：Azure DevOps经Service Connection连接K8s集群（命名空间RBAC授权），配置测试/生产两条部署流水线——测试环境早期先期部署、随迭代自动更新（供联调/集成/系统测试），生产环境终期部署（带审批门禁）。不用Helm，发布物为原生K8s清单。</t>
        </is>
      </c>
      <c r="D8" s="32" t="inlineStr">
        <is>
          <t>CI/CD流水线（4道硬门禁）+K8s部署流水线（测试/生产两套）</t>
        </is>
      </c>
      <c r="E8" s="32" t="inlineStr">
        <is>
          <t>演示一次拦截样例；门禁不可bypass（含紧急发布）；集成测试覆盖率红线写入配置；测试环境可由流水线一键自动部署更新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测试环境（K8s）已先期部署并流水线自动更新；全链路演示通过；CI/CD全自动；用例库v1.0完成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2026-09-02T07:00:13Z</dcterms:modified>
</cp:coreProperties>
</file>