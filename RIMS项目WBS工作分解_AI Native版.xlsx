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WBS分解" sheetId="2" state="visible" r:id="rId2"/>
    <sheet name="26项功能覆盖对照" sheetId="3" state="visible" r:id="rId3"/>
    <sheet name="功能视角分解" sheetId="4" state="visible" r:id="rId4"/>
    <sheet name="功能拆解估算" sheetId="5" state="visible" r:id="rId5"/>
    <sheet name="里程碑计划" sheetId="6" state="visible" r:id="rId6"/>
    <sheet name="资源负荷与日历" sheetId="7" state="visible" r:id="rId7"/>
    <sheet name="WBS词典" sheetId="8" state="visible" r:id="rId8"/>
    <sheet name="进度汇总" sheetId="9" state="visible" r:id="rId9"/>
  </sheets>
  <definedNames>
    <definedName name="_xlnm._FilterDatabase" localSheetId="3" hidden="1">'功能视角分解'!$A$2:$P$38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/m/d"/>
    <numFmt numFmtId="165" formatCode="0.##"/>
    <numFmt numFmtId="166" formatCode="0.0%"/>
    <numFmt numFmtId="167" formatCode="mm/dd"/>
  </numFmts>
  <fonts count="22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/>
    <font>
      <b val="1"/>
      <color rgb="00FFFFFF"/>
      <sz val="16"/>
    </font>
    <font>
      <sz val="10"/>
    </font>
    <font>
      <b val="1"/>
      <color rgb="00FFFFFF"/>
    </font>
    <font>
      <b val="1"/>
      <color rgb="009C6500"/>
    </font>
    <font>
      <i val="1"/>
      <color rgb="007030A0"/>
      <sz val="9"/>
    </font>
    <font>
      <i val="1"/>
      <color rgb="00808080"/>
      <sz val="9"/>
    </font>
    <font>
      <i val="1"/>
      <color rgb="00C00000"/>
      <sz val="9"/>
    </font>
    <font>
      <b val="1"/>
      <color rgb="001F4E79"/>
      <sz val="9"/>
    </font>
    <font>
      <color rgb="001F4E79"/>
      <sz val="9"/>
    </font>
    <font>
      <b val="1"/>
      <color rgb="00C00000"/>
      <sz val="9"/>
    </font>
    <font>
      <color rgb="00C00000"/>
      <sz val="9"/>
    </font>
    <font>
      <b val="1"/>
      <color rgb="00FFFFFF"/>
      <sz val="13"/>
    </font>
    <font>
      <b val="1"/>
      <color rgb="00FFFFFF"/>
      <sz val="10"/>
    </font>
    <font>
      <b val="1"/>
      <sz val="10"/>
    </font>
    <font>
      <b val="1"/>
      <color rgb="001F4E79"/>
      <sz val="10"/>
    </font>
    <font>
      <b val="1"/>
      <color rgb="009C5700"/>
      <sz val="10"/>
    </font>
    <font>
      <b val="1"/>
      <color rgb="00FFFFFF"/>
      <sz val="12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DED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7E6E6"/>
      </patternFill>
    </fill>
    <fill>
      <patternFill patternType="solid">
        <fgColor rgb="00E4DFEC"/>
      </patternFill>
    </fill>
    <fill>
      <patternFill patternType="solid">
        <fgColor rgb="001F4E79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/>
    </xf>
    <xf numFmtId="0" fontId="5" fillId="4" borderId="0" pivotButton="0" quotePrefix="0" xfId="0"/>
    <xf numFmtId="0" fontId="6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9" fontId="2" fillId="3" borderId="1" applyAlignment="1" pivotButton="0" quotePrefix="0" xfId="0">
      <alignment horizontal="center" vertical="center"/>
    </xf>
    <xf numFmtId="3" fontId="2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indent="1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3" fontId="0" fillId="0" borderId="1" pivotButton="0" quotePrefix="0" xfId="0"/>
    <xf numFmtId="0" fontId="0" fillId="0" borderId="1" applyAlignment="1" pivotButton="0" quotePrefix="0" xfId="0">
      <alignment vertical="center" indent="2"/>
    </xf>
    <xf numFmtId="0" fontId="0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vertical="center" indent="2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3" fontId="0" fillId="5" borderId="1" pivotButton="0" quotePrefix="0" xfId="0"/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0" fillId="5" borderId="0" pivotButton="0" quotePrefix="0" xfId="0"/>
    <xf numFmtId="0" fontId="2" fillId="0" borderId="1" pivotButton="0" quotePrefix="0" xfId="0"/>
    <xf numFmtId="165" fontId="2" fillId="0" borderId="1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  <xf numFmtId="0" fontId="0" fillId="0" borderId="0" applyAlignment="1" pivotButton="0" quotePrefix="0" xfId="0">
      <alignment vertical="center" wrapText="1"/>
    </xf>
    <xf numFmtId="166" fontId="0" fillId="0" borderId="1" applyAlignment="1" pivotButton="0" quotePrefix="0" xfId="0">
      <alignment horizontal="center" vertical="center"/>
    </xf>
    <xf numFmtId="0" fontId="9" fillId="0" borderId="0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 wrapText="1"/>
    </xf>
    <xf numFmtId="165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 wrapText="1"/>
    </xf>
    <xf numFmtId="165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vertical="center" wrapText="1"/>
    </xf>
    <xf numFmtId="165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vertical="center" wrapText="1"/>
    </xf>
    <xf numFmtId="165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vertical="center" wrapText="1"/>
    </xf>
    <xf numFmtId="165" fontId="0" fillId="11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165" fontId="0" fillId="4" borderId="1" applyAlignment="1" pivotButton="0" quotePrefix="0" xfId="0">
      <alignment horizontal="center" vertical="center"/>
    </xf>
    <xf numFmtId="0" fontId="10" fillId="0" borderId="0" pivotButton="0" quotePrefix="0" xfId="0"/>
    <xf numFmtId="165" fontId="2" fillId="0" borderId="1" applyAlignment="1" pivotButton="0" quotePrefix="0" xfId="0">
      <alignment horizontal="center" vertical="center"/>
    </xf>
    <xf numFmtId="165" fontId="2" fillId="0" borderId="0" pivotButton="0" quotePrefix="0" xfId="0"/>
    <xf numFmtId="166" fontId="0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65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165" fontId="2" fillId="7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5" fontId="2" fillId="5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165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165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165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165" fontId="2" fillId="11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10" fillId="0" borderId="0" applyAlignment="1" pivotButton="0" quotePrefix="0" xfId="0">
      <alignment vertical="top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2" fillId="4" borderId="1" applyAlignment="1" pivotButton="0" quotePrefix="0" xfId="0">
      <alignment horizontal="left" vertical="center" wrapText="1"/>
    </xf>
    <xf numFmtId="165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5" fillId="12" borderId="0" applyAlignment="1" pivotButton="0" quotePrefix="0" xfId="0">
      <alignment horizontal="center" vertical="center" wrapText="1"/>
    </xf>
    <xf numFmtId="0" fontId="16" fillId="12" borderId="8" applyAlignment="1" pivotButton="0" quotePrefix="0" xfId="0">
      <alignment horizontal="center" vertical="center" wrapText="1"/>
    </xf>
    <xf numFmtId="0" fontId="17" fillId="9" borderId="8" applyAlignment="1" pivotButton="0" quotePrefix="0" xfId="0">
      <alignment horizontal="center" vertical="center" wrapText="1"/>
    </xf>
    <xf numFmtId="0" fontId="17" fillId="9" borderId="8" applyAlignment="1" pivotButton="0" quotePrefix="0" xfId="0">
      <alignment horizontal="left" vertical="center" wrapText="1"/>
    </xf>
    <xf numFmtId="167" fontId="17" fillId="9" borderId="8" applyAlignment="1" pivotButton="0" quotePrefix="0" xfId="0">
      <alignment horizontal="center" vertical="center" wrapText="1"/>
    </xf>
    <xf numFmtId="1" fontId="17" fillId="9" borderId="8" applyAlignment="1" pivotButton="0" quotePrefix="0" xfId="0">
      <alignment horizontal="center" vertical="center" wrapText="1"/>
    </xf>
    <xf numFmtId="165" fontId="17" fillId="9" borderId="8" applyAlignment="1" pivotButton="0" quotePrefix="0" xfId="0">
      <alignment horizontal="center" vertical="center" wrapText="1"/>
    </xf>
    <xf numFmtId="0" fontId="18" fillId="4" borderId="8" applyAlignment="1" pivotButton="0" quotePrefix="0" xfId="0">
      <alignment horizontal="center" vertical="center" wrapText="1"/>
    </xf>
    <xf numFmtId="0" fontId="18" fillId="4" borderId="8" applyAlignment="1" pivotButton="0" quotePrefix="0" xfId="0">
      <alignment horizontal="left" vertical="center" wrapText="1"/>
    </xf>
    <xf numFmtId="167" fontId="18" fillId="4" borderId="8" applyAlignment="1" pivotButton="0" quotePrefix="0" xfId="0">
      <alignment horizontal="center" vertical="center" wrapText="1"/>
    </xf>
    <xf numFmtId="1" fontId="18" fillId="4" borderId="8" applyAlignment="1" pivotButton="0" quotePrefix="0" xfId="0">
      <alignment horizontal="center" vertical="center" wrapText="1"/>
    </xf>
    <xf numFmtId="165" fontId="18" fillId="4" borderId="8" applyAlignment="1" pivotButton="0" quotePrefix="0" xfId="0">
      <alignment horizontal="center" vertical="center" wrapText="1"/>
    </xf>
    <xf numFmtId="0" fontId="19" fillId="5" borderId="8" applyAlignment="1" pivotButton="0" quotePrefix="0" xfId="0">
      <alignment horizontal="center" vertical="center" wrapText="1"/>
    </xf>
    <xf numFmtId="0" fontId="19" fillId="5" borderId="8" applyAlignment="1" pivotButton="0" quotePrefix="0" xfId="0">
      <alignment horizontal="left" vertical="center" wrapText="1"/>
    </xf>
    <xf numFmtId="167" fontId="19" fillId="5" borderId="8" applyAlignment="1" pivotButton="0" quotePrefix="0" xfId="0">
      <alignment horizontal="center" vertical="center" wrapText="1"/>
    </xf>
    <xf numFmtId="1" fontId="19" fillId="5" borderId="8" applyAlignment="1" pivotButton="0" quotePrefix="0" xfId="0">
      <alignment horizontal="center" vertical="center" wrapText="1"/>
    </xf>
    <xf numFmtId="165" fontId="19" fillId="5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left" vertical="center" wrapText="1"/>
    </xf>
    <xf numFmtId="167" fontId="0" fillId="0" borderId="8" applyAlignment="1" pivotButton="0" quotePrefix="0" xfId="0">
      <alignment horizontal="center" vertical="center" wrapText="1"/>
    </xf>
    <xf numFmtId="1" fontId="0" fillId="0" borderId="8" applyAlignment="1" pivotButton="0" quotePrefix="0" xfId="0">
      <alignment horizontal="center" vertical="center" wrapText="1"/>
    </xf>
    <xf numFmtId="165" fontId="0" fillId="0" borderId="8" applyAlignment="1" pivotButton="0" quotePrefix="0" xfId="0">
      <alignment horizontal="center" vertical="center" wrapText="1"/>
    </xf>
    <xf numFmtId="0" fontId="20" fillId="12" borderId="0" applyAlignment="1" pivotButton="0" quotePrefix="0" xfId="0">
      <alignment horizontal="center" vertical="center" wrapText="1"/>
    </xf>
    <xf numFmtId="0" fontId="2" fillId="5" borderId="8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left" vertical="center" wrapText="1"/>
    </xf>
    <xf numFmtId="0" fontId="21" fillId="2" borderId="0" applyAlignment="1" pivotButton="0" quotePrefix="0" xfId="0">
      <alignment horizontal="center" vertical="center"/>
    </xf>
    <xf numFmtId="167" fontId="17" fillId="9" borderId="8" applyAlignment="1" pivotButton="0" quotePrefix="0" xfId="0">
      <alignment horizontal="center" vertical="center" wrapText="1"/>
    </xf>
    <xf numFmtId="167" fontId="18" fillId="4" borderId="8" applyAlignment="1" pivotButton="0" quotePrefix="0" xfId="0">
      <alignment horizontal="center" vertical="center" wrapText="1"/>
    </xf>
    <xf numFmtId="167" fontId="19" fillId="5" borderId="8" applyAlignment="1" pivotButton="0" quotePrefix="0" xfId="0">
      <alignment horizontal="center" vertical="center" wrapText="1"/>
    </xf>
    <xf numFmtId="167" fontId="0" fillId="0" borderId="8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ill>
        <patternFill patternType="solid">
          <bgColor rgb="00C6EFCE"/>
        </patternFill>
      </fill>
    </dxf>
    <dxf>
      <fill>
        <patternFill patternType="solid">
          <bgColor rgb="00DDEBF7"/>
        </patternFill>
      </fill>
    </dxf>
    <dxf>
      <fill>
        <patternFill patternType="solid">
          <bgColor rgb="00FFC7CE"/>
        </patternFill>
      </fill>
    </dxf>
    <dxf>
      <fill>
        <patternFill patternType="solid">
          <bgColor rgb="00E7E6E6"/>
        </patternFill>
      </fill>
    </dxf>
    <dxf>
      <font>
        <color rgb="009C0006"/>
      </font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EA9DB"/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8" customHeight="1">
      <c r="A1" s="1" t="inlineStr">
        <is>
          <t>RIMS数据归档平台Phase1 · WBS工作分解结构（AI Native版）— 使用说明</t>
        </is>
      </c>
    </row>
    <row r="2"/>
    <row r="3" ht="20" customHeight="1">
      <c r="A3" s="2" t="inlineStr">
        <is>
          <t>一、项目与团队</t>
        </is>
      </c>
    </row>
    <row r="4" ht="30" customHeight="1">
      <c r="A4" s="3" t="inlineStr">
        <is>
          <t>项目</t>
        </is>
      </c>
      <c r="B4" s="4" t="inlineStr">
        <is>
          <t>RIMS退役系统数据归档管理平台 · Phase1「基础归档与查询」：8大模块、26项功能（详见源文件《项目执行计划 (3).xlsx》Scope-Phase1）+ 非功能需求（性能/安全/合规/可用性/容量）统一排程</t>
        </is>
      </c>
    </row>
    <row r="5" ht="30" customHeight="1">
      <c r="A5" s="3" t="inlineStr">
        <is>
          <t>团队与投入</t>
        </is>
      </c>
      <c r="B5" s="4" t="inlineStr">
        <is>
          <t>V2.1排期口径（「功能拆解估算」直估297.5人天×AI执行系数=212.3人天）：Mandy三职排期68.2、Wade 64.8、DevB 65.0、Mark 14.4；系数按每行AI参与方式分档（AI生成+人工审核×0.65／AI辅助×0.75／自动化流水线×0.90／人工主导×1.0／测试左移×0.60），WBS各行Q列有直估对照。</t>
        </is>
      </c>
    </row>
    <row r="6" ht="30" customHeight="1">
      <c r="A6" s="3" t="inlineStr">
        <is>
          <t>Mandy工作量口径</t>
        </is>
      </c>
      <c r="B6" s="4" t="inlineStr">
        <is>
          <t>V2.1采用测试左移（AI用例随BA澄清先行、随CI构建持续验证）：功能测试直估38.75×0.60；SLC初稿随开发滚动AI反生成×0.75、7.1定稿收口；三职排期68.2人天（直估98）。</t>
        </is>
      </c>
    </row>
    <row r="7" ht="30" customHeight="1">
      <c r="A7" s="3" t="inlineStr">
        <is>
          <t>PM投入分布</t>
        </is>
      </c>
      <c r="B7" s="4" t="inlineStr">
        <is>
          <t>Mark 15人天贯穿式分布：启动会1 + 每周项目例会12次×0.5=6 + 开发期每日任务同步会约2 + 进度/风险跟踪2.5 + 里程碑评审2.5 + 交付确认收尾1（最后1天在12/16项目结束时使用）</t>
        </is>
      </c>
    </row>
    <row r="8" ht="30" customHeight="1">
      <c r="A8" s="3" t="inlineStr">
        <is>
          <t>周期</t>
        </is>
      </c>
      <c r="B8" s="4" t="inlineStr">
        <is>
          <t>2026/9/14（周一）启动 → 2026/12/31（周四）交付（V2.1），共73个工作日/人；M1=9/22、M2=9/30、M3=11/5、M4=12/16、M6(UAT)=12/17、M5(冻结评审)=12/25、M7=12/31；12/28~31生产部署+全量迁移窗口。</t>
        </is>
      </c>
    </row>
    <row r="9" ht="20" customHeight="1">
      <c r="A9" s="2" t="inlineStr">
        <is>
          <t>二、排期规则</t>
        </is>
      </c>
    </row>
    <row r="10" ht="18" customHeight="1">
      <c r="A10" s="3" t="inlineStr">
        <is>
          <t>开工日</t>
        </is>
      </c>
      <c r="B10" s="4" t="inlineStr">
        <is>
          <t>9/14（周一）</t>
        </is>
      </c>
    </row>
    <row r="11" ht="30" customHeight="1">
      <c r="A11" s="3" t="inlineStr">
        <is>
          <t>不排任务日</t>
        </is>
      </c>
      <c r="B11" s="4" t="inlineStr">
        <is>
          <t>周末（周六/周日）；中秋节 9/25（周五）~9/27（周日）；国庆节 10/1（周四）~10/7（周三）。假期合计损失6个工作日，任务自动顺延</t>
        </is>
      </c>
    </row>
    <row r="12" ht="18" customHeight="1">
      <c r="A12" s="3" t="inlineStr">
        <is>
          <t>调休补班日</t>
        </is>
      </c>
      <c r="B12" s="4" t="inlineStr">
        <is>
          <t>官方补班日 9/20（周日）、10/10（周六）逢周末，按约定同样不排任务；若进度落后可启用为备用赶工日</t>
        </is>
      </c>
    </row>
    <row r="13" ht="30" customHeight="1">
      <c r="A13" s="3" t="inlineStr">
        <is>
          <t>与原计划对应</t>
        </is>
      </c>
      <c r="B13" s="4" t="inlineStr">
        <is>
          <t>原《项目执行计划》185人天/62工作日 → V2.1：任务结构=「功能拆解估算」25功能×72子任务（按角色拆行）+N1~N5非功能组+环节；直估297.5人天经AI执行系数折算为212.3人天/73工作日，交付2026/12/31。折算与8项DevB→Wade瓶颈迁移、增量接入/复盘文档移上线后，是按期交付的三项前提（详见「功能拆解估算」页V2.1说明）。</t>
        </is>
      </c>
    </row>
    <row r="14" ht="20" customHeight="1">
      <c r="A14" s="2" t="inlineStr">
        <is>
          <t>三、AI Native模式（与模板传统模式的差异）</t>
        </is>
      </c>
    </row>
    <row r="15" ht="30" customHeight="1">
      <c r="A15" s="3" t="inlineStr">
        <is>
          <t>总体</t>
        </is>
      </c>
      <c r="B15" s="4" t="inlineStr">
        <is>
          <t>模板为传统瀑布（需求→设计→编码→测试→上线，人工编码+人工评审）；本版按AI Native（Vibe Coding）重排：AI生成+人工审核为主线，质量靠门禁与外部评审兜底</t>
        </is>
      </c>
    </row>
    <row r="16" ht="30" customHeight="1">
      <c r="A16" s="3" t="inlineStr">
        <is>
          <t>项目初始化</t>
        </is>
      </c>
      <c r="B16" s="4" t="inlineStr">
        <is>
          <t>项目启动即前置（3.3 N1工程基座：仓库/规范/前端骨架/四道门禁CI/CD + 3.4 N4部署流水线与测试环境先期部署）：先立环境与规矩再生成代码。部署节奏：Azure DevOps连接K8s，测试环境早期先部署（3.4，M3前就绪，流水线自动更新）、生产环境终期部署（8.1，带审批门禁），不用Helm。</t>
        </is>
      </c>
    </row>
    <row r="17" ht="30" customHeight="1">
      <c r="A17" s="3" t="inlineStr">
        <is>
          <t>非功能需求</t>
        </is>
      </c>
      <c r="B17" s="4" t="inlineStr">
        <is>
          <t>功能（26项）与非功能统一排程：NFR基线随SRS冻结（2.2.1，M1=9/24）→NFR测试可执行化（2.3.1）→非功能设计定稿（3.2.7）→N3全局非功能实现（5.14）→N2质量治理清零（6.1）→系统测试轮1（6.4.2）→性能/安全专项+部署预演+迁移预跑（7.2）→UAT（7.1.3）→生产就绪评审（7.2.9）→部署（8.1）。</t>
        </is>
      </c>
    </row>
    <row r="18" ht="18" customHeight="1">
      <c r="A18" s="3" t="inlineStr">
        <is>
          <t>需求</t>
        </is>
      </c>
      <c r="B18" s="4" t="inlineStr">
        <is>
          <t>人工访谈澄清优先级后，SRS由AI生成初稿+人工评审基线（🤖见2.2.1）</t>
        </is>
      </c>
    </row>
    <row r="19" ht="30" customHeight="1">
      <c r="A19" s="3" t="inlineStr">
        <is>
          <t>设计</t>
        </is>
      </c>
      <c r="B19" s="4" t="inlineStr">
        <is>
          <t>架构图已预确认→设计阶段仅收尾定稿+ADR留痕；新增「AI工程基线」（3.1.1工具链/规范、3.1.2四道安全门禁CI）替代传统前置详细设计</t>
        </is>
      </c>
    </row>
    <row r="20" ht="30" customHeight="1">
      <c r="A20" s="3" t="inlineStr">
        <is>
          <t>开发</t>
        </is>
      </c>
      <c r="B20" s="4" t="inlineStr">
        <is>
          <t>Vibe Coding：AI生成代码+人工审核+四道门禁硬卡点合入；每周五下午固定0.5天技术债偿还；外部关键模块评审2次（10/9、11/11）</t>
        </is>
      </c>
    </row>
    <row r="21" ht="18" customHeight="1">
      <c r="A21" s="3" t="inlineStr">
        <is>
          <t>测试</t>
        </is>
      </c>
      <c r="B21" s="4" t="inlineStr">
        <is>
          <t>AI生成测试用例+人工补充边界/越权用例；AI辅助执行与缺陷聚类（轮1、全量、UAT三级）</t>
        </is>
      </c>
    </row>
    <row r="22" ht="18" customHeight="1">
      <c r="A22" s="3" t="inlineStr">
        <is>
          <t>文档</t>
        </is>
      </c>
      <c r="B22" s="4" t="inlineStr">
        <is>
          <t>AI反生成（代码/演示→手册）+人工润色，随模块滚动产出，不再后置到上线后</t>
        </is>
      </c>
    </row>
    <row r="23" ht="20" customHeight="1">
      <c r="A23" s="2" t="inlineStr">
        <is>
          <t>四、表格说明</t>
        </is>
      </c>
    </row>
    <row r="24" ht="30" customHeight="1">
      <c r="A24" s="3" t="inlineStr">
        <is>
          <t>新增列</t>
        </is>
      </c>
      <c r="B24" s="4" t="inlineStr">
        <is>
          <t>「工作量(人天)」＝实际人力投入（汇总行自动汇总）；「AI参与方式」＝该任务的AI参与程度（AI生成+人工审核 / AI辅助 / 人工主导 / 自动化流水线）</t>
        </is>
      </c>
    </row>
    <row r="25" ht="30" customHeight="1">
      <c r="A25" s="3" t="inlineStr">
        <is>
          <t>工期(天)</t>
        </is>
      </c>
      <c r="B25" s="4" t="inlineStr">
        <is>
          <t>＝起止日期间的排产工作日数（已扣除周末/中秋/国庆），非自然日跨度；贯穿型任务工期为跨度假定的日历工作跨度，实际投入以工作量列为准</t>
        </is>
      </c>
    </row>
    <row r="26" ht="30" customHeight="1">
      <c r="A26" s="3" t="inlineStr">
        <is>
          <t>里程碑</t>
        </is>
      </c>
      <c r="B26" s="4" t="inlineStr">
        <is>
          <t>任务名称含「◆」且金色底纹＝里程碑：M1=9/22需求冻结、M2=9/30设计冻结、M3=11/5批次1样本端到端（测试环境K8s演示）、M4=12/16编码完成、M6=12/17 UAT签字、M5=12/25代码冻结+就绪评审（AI Native并行：全量测试与治理并行收口，UAT先于冻结评审完成）、M7=12/31生产上线交付。</t>
        </is>
      </c>
    </row>
    <row r="27" ht="18" customHeight="1">
      <c r="A27" s="3" t="inlineStr">
        <is>
          <t>自动化</t>
        </is>
      </c>
      <c r="B27" s="4" t="inlineStr">
        <is>
          <t>状态/优先级下拉选择；超期未完成整行自动标红；进度列数据条；一级任务蓝底汇总；「进度汇总」页自动统计</t>
        </is>
      </c>
    </row>
    <row r="28" ht="30" customHeight="1">
      <c r="A28" s="3" t="inlineStr">
        <is>
          <t>功能覆盖对照</t>
        </is>
      </c>
      <c r="B28" s="4" t="inlineStr">
        <is>
          <t>「26项功能覆盖对照」页：源文件Scope-Phase1的26项功能（F01-01~F08-05）与WBS任务逐项对照（主开发/界面协作/走查/全量测试/负责人/计划完成日），功能名与源文件一字不差，可直接用于功能完整性验收</t>
        </is>
      </c>
    </row>
    <row r="29" ht="30" customHeight="1">
      <c r="A29" s="3" t="inlineStr">
        <is>
          <t>其他页签</t>
        </is>
      </c>
      <c r="B29" s="4" t="inlineStr">
        <is>
          <t>「里程碑计划」「资源负荷与日历」「WBS词典」「进度汇总」配合使用；如需甘特图可将WBS编号+起止日期导出到Project/飞书项目</t>
        </is>
      </c>
    </row>
    <row r="30" ht="30" customHeight="1">
      <c r="A30" s="38" t="inlineStr">
        <is>
          <t>功能视角分解</t>
        </is>
      </c>
      <c r="B30" s="4" t="inlineStr">
        <is>
          <t>按功能维度查看：26项功能×（BA/开发A/开发B/测试/文档）五类角色各自的工作内容与人天（V2.0=「功能拆解估算」直估原值），另有9类公共支撑行（需求/基座/架构/集成/测试/专项/上线/管理，挂新WBS组编码）；底部与WBS分解V2.0合计297.5人天自动对账</t>
        </is>
      </c>
    </row>
    <row r="31" ht="30" customHeight="1">
      <c r="A31" s="38" t="n"/>
      <c r="B31" s="4" t="n"/>
    </row>
    <row r="32" ht="30" customHeight="1">
      <c r="A32" s="38" t="n"/>
      <c r="B32" s="4" t="n"/>
    </row>
    <row r="33" ht="30" customHeight="1">
      <c r="A33" s="38" t="n"/>
      <c r="B33" s="4" t="n"/>
    </row>
    <row r="34" ht="30" customHeight="1">
      <c r="A34" s="38" t="n"/>
      <c r="B34" s="4" t="n"/>
    </row>
    <row r="35" ht="30" customHeight="1">
      <c r="A35" s="38" t="inlineStr">
        <is>
          <t>功能拆解估算</t>
        </is>
      </c>
      <c r="B35" s="4" t="inlineStr">
        <is>
          <t>子任务级直估：模块→功能→子任务三层结构（模块列与功能列均为纵向合并单元格），25项功能×72子任务 + 非功能与工程支撑×23子任务（N1框架初始化与基座/N2 ESLint·SonarLint·SAST代码质量治理/N3性能·鉴权·可观测·容量/N4部署运维），按BA/开发A/开发B/测试/SLC文档独立估人天；底部附与计划口径对照、AI提效折算与工作量合理性复查</t>
        </is>
      </c>
    </row>
    <row r="36" ht="30" customHeight="1">
      <c r="A36" s="38" t="n"/>
      <c r="B36" s="4" t="n"/>
    </row>
    <row r="37" ht="30" customHeight="1">
      <c r="A37" s="38" t="n"/>
      <c r="B37" s="4" t="n"/>
    </row>
    <row r="38" ht="30" customHeight="1">
      <c r="A38" s="38" t="n"/>
      <c r="B38" s="4" t="n"/>
    </row>
    <row r="39" ht="60" customHeight="1">
      <c r="A39" s="38" t="inlineStr">
        <is>
          <t>V2.1排期说明</t>
        </is>
      </c>
      <c r="B39" s="4" t="inlineStr">
        <is>
          <t>本版WBS分解（V2.1）按「功能拆解估算」页的任务与直估人天排期，交付锁定2026年内（12/31）：①开发任务=25功能×72子任务按角色拆行+非功能N1~N5+环节；②每行人天=直估×AI执行系数（AI生成×0.65/AI辅助×0.75/自动化×0.9/人工×1.0/测试左移×0.60，Q列有直估对照），合计297.5→214.3人天；③并行化：测试左移、SLC随开发滚动、N2治理随开发持续、CC演练与批次2并行、全量测试与冻结并行（M6先于M5）；④DevB瓶颈化解：8项应用/中间件任务移Wade，增量接入与复盘文档移上线后（B计划）；⑤测试环境（K8s）3.4先期部署、生产8.1终期部署（带审批），不用Helm。</t>
        </is>
      </c>
    </row>
  </sheetData>
  <mergeCells count="5">
    <mergeCell ref="A14:B14"/>
    <mergeCell ref="A1:B1"/>
    <mergeCell ref="A23:B23"/>
    <mergeCell ref="A9:B9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7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6" customWidth="1" min="3" max="3"/>
    <col width="30" customWidth="1" min="4" max="4"/>
    <col width="11" customWidth="1" min="5" max="5"/>
    <col width="11" customWidth="1" min="6" max="6"/>
    <col width="11" customWidth="1" min="7" max="7"/>
    <col width="9" customWidth="1" min="8" max="8"/>
    <col width="11" customWidth="1" min="9" max="9"/>
    <col width="15" customWidth="1" min="10" max="10"/>
    <col width="14" customWidth="1" min="11" max="11"/>
    <col width="9" customWidth="1" min="12" max="12"/>
    <col width="8" customWidth="1" min="13" max="13"/>
    <col width="8" customWidth="1" min="14" max="14"/>
    <col width="11" customWidth="1" min="15" max="15"/>
    <col width="11" customWidth="1" min="16" max="16"/>
    <col width="42" customWidth="1" min="17" max="17"/>
  </cols>
  <sheetData>
    <row r="1" ht="24" customHeight="1">
      <c r="A1" s="118" t="inlineStr">
        <is>
          <t>RIMS数据归档平台Phase1 · 项目工作分解结构（WBS）表 — AI Native版 · V2.1按「功能拆解估算」排期（AI Native执行折算，交付2026/12/30前）</t>
        </is>
      </c>
    </row>
    <row r="2">
      <c r="A2" t="inlineStr">
        <is>
          <t>项目名称：RIMS退役系统数据归档平台·Phase1（基础归档与查询）</t>
        </is>
      </c>
      <c r="F2" t="inlineStr">
        <is>
          <t>项目经理：Mark</t>
        </is>
      </c>
      <c r="I2" t="inlineStr">
        <is>
          <t>编制日期：2026/9/2  版本：V2.1（直估×AI执行系数排期）  窗口：2026/9/14 → 2026/12/31（不跨年）</t>
        </is>
      </c>
    </row>
    <row r="3">
      <c r="A3" s="119" t="inlineStr">
        <is>
          <t>WBS编号</t>
        </is>
      </c>
      <c r="B3" s="119" t="inlineStr">
        <is>
          <t>任务名称</t>
        </is>
      </c>
      <c r="C3" s="119" t="inlineStr">
        <is>
          <t>层级</t>
        </is>
      </c>
      <c r="D3" s="119" t="inlineStr">
        <is>
          <t>交付物/成果</t>
        </is>
      </c>
      <c r="E3" s="119" t="inlineStr">
        <is>
          <t>负责人</t>
        </is>
      </c>
      <c r="F3" s="119" t="inlineStr">
        <is>
          <t>开始日期</t>
        </is>
      </c>
      <c r="G3" s="119" t="inlineStr">
        <is>
          <t>结束日期</t>
        </is>
      </c>
      <c r="H3" s="119" t="inlineStr">
        <is>
          <t>工期(天)</t>
        </is>
      </c>
      <c r="I3" s="119" t="inlineStr">
        <is>
          <t>工作量(人天)</t>
        </is>
      </c>
      <c r="J3" s="119" t="inlineStr">
        <is>
          <t>AI参与方式</t>
        </is>
      </c>
      <c r="K3" s="119" t="inlineStr">
        <is>
          <t>前置任务</t>
        </is>
      </c>
      <c r="L3" s="119" t="inlineStr">
        <is>
          <t>状态</t>
        </is>
      </c>
      <c r="M3" s="119" t="inlineStr">
        <is>
          <t>进度</t>
        </is>
      </c>
      <c r="N3" s="119" t="inlineStr">
        <is>
          <t>优先级</t>
        </is>
      </c>
      <c r="O3" s="119" t="inlineStr">
        <is>
          <t>预算(元)</t>
        </is>
      </c>
      <c r="P3" s="119" t="inlineStr">
        <is>
          <t>实际成本(元)</t>
        </is>
      </c>
      <c r="Q3" s="119" t="inlineStr">
        <is>
          <t>备注</t>
        </is>
      </c>
    </row>
    <row r="4">
      <c r="A4" s="120" t="inlineStr">
        <is>
          <t>1</t>
        </is>
      </c>
      <c r="B4" s="121" t="inlineStr">
        <is>
          <t>项目管理（贯穿全周期·15人天）</t>
        </is>
      </c>
      <c r="C4" s="120" t="n">
        <v>1</v>
      </c>
      <c r="D4" s="121" t="n"/>
      <c r="E4" s="120" t="inlineStr">
        <is>
          <t>Mark</t>
        </is>
      </c>
      <c r="F4" s="145" t="n">
        <v>46279</v>
      </c>
      <c r="G4" s="145" t="n">
        <v>46387</v>
      </c>
      <c r="H4" s="123" t="n">
        <v>73</v>
      </c>
      <c r="I4" s="124">
        <f>ROUND(SUMPRODUCT(($C$5:$C$14=3)*(LEFT($A$5:$A$14,LEN(A4)+1)=A4&amp;".")*$I$5:$I$14),2)</f>
        <v/>
      </c>
      <c r="J4" s="121" t="n"/>
      <c r="K4" s="121" t="n"/>
      <c r="L4" s="120" t="n"/>
      <c r="M4" s="120" t="n"/>
      <c r="N4" s="120" t="n"/>
      <c r="O4" s="120" t="n"/>
      <c r="P4" s="120" t="n"/>
      <c r="Q4" s="121" t="n"/>
    </row>
    <row r="5">
      <c r="A5" s="125" t="inlineStr">
        <is>
          <t>1.1</t>
        </is>
      </c>
      <c r="B5" s="126" t="inlineStr">
        <is>
          <t>项目启动</t>
        </is>
      </c>
      <c r="C5" s="125" t="n">
        <v>2</v>
      </c>
      <c r="D5" s="126" t="n"/>
      <c r="E5" s="125" t="inlineStr">
        <is>
          <t>Mark</t>
        </is>
      </c>
      <c r="F5" s="146" t="n">
        <v>46279</v>
      </c>
      <c r="G5" s="146" t="n">
        <v>46279</v>
      </c>
      <c r="H5" s="128" t="n">
        <v>1</v>
      </c>
      <c r="I5" s="129">
        <f>ROUND(SUMPRODUCT(($C$6:$C$6=3)*(LEFT($A$6:$A$6,LEN(A5)+1)=A5&amp;".")*$I$6:$I$6),2)</f>
        <v/>
      </c>
      <c r="J5" s="126" t="n"/>
      <c r="K5" s="126" t="n"/>
      <c r="L5" s="125" t="n"/>
      <c r="M5" s="125" t="n"/>
      <c r="N5" s="125" t="n"/>
      <c r="O5" s="125" t="n"/>
      <c r="P5" s="125" t="n"/>
      <c r="Q5" s="126" t="n"/>
    </row>
    <row r="6">
      <c r="A6" s="130" t="inlineStr">
        <is>
          <t>1.1.1</t>
        </is>
      </c>
      <c r="B6" s="131" t="inlineStr">
        <is>
          <t>项目启动会与开发模式交底（范围/总体计划/门禁规则/RACI）</t>
        </is>
      </c>
      <c r="C6" s="130" t="n">
        <v>3</v>
      </c>
      <c r="D6" s="131" t="inlineStr">
        <is>
          <t>启动会纪要、RACI矩阵</t>
        </is>
      </c>
      <c r="E6" s="130" t="inlineStr">
        <is>
          <t>Mark</t>
        </is>
      </c>
      <c r="F6" s="147" t="n">
        <v>46279</v>
      </c>
      <c r="G6" s="147" t="n">
        <v>46279</v>
      </c>
      <c r="H6" s="133" t="n">
        <v>1</v>
      </c>
      <c r="I6" s="134" t="n">
        <v>1</v>
      </c>
      <c r="J6" s="131" t="inlineStr">
        <is>
          <t>人工主导</t>
        </is>
      </c>
      <c r="K6" s="131" t="n"/>
      <c r="L6" s="130" t="n"/>
      <c r="M6" s="130" t="n"/>
      <c r="N6" s="130" t="n"/>
      <c r="O6" s="130" t="n"/>
      <c r="P6" s="130" t="n"/>
      <c r="Q6" s="131" t="inlineStr">
        <is>
          <t>直估1·AI执行×1</t>
        </is>
      </c>
    </row>
    <row r="7">
      <c r="A7" s="125" t="inlineStr">
        <is>
          <t>1.2</t>
        </is>
      </c>
      <c r="B7" s="126" t="inlineStr">
        <is>
          <t>项目例会与进度跟踪（贯穿执行期）</t>
        </is>
      </c>
      <c r="C7" s="125" t="n">
        <v>2</v>
      </c>
      <c r="D7" s="126" t="n"/>
      <c r="E7" s="125" t="inlineStr">
        <is>
          <t>Mandy/Mark</t>
        </is>
      </c>
      <c r="F7" s="146" t="n">
        <v>46286</v>
      </c>
      <c r="G7" s="146" t="n">
        <v>46386</v>
      </c>
      <c r="H7" s="128" t="n">
        <v>67</v>
      </c>
      <c r="I7" s="129">
        <f>ROUND(SUMPRODUCT(($C$8:$C$12=3)*(LEFT($A$8:$A$12,LEN(A7)+1)=A7&amp;".")*$I$8:$I$12),2)</f>
        <v/>
      </c>
      <c r="J7" s="126" t="n"/>
      <c r="K7" s="126" t="n"/>
      <c r="L7" s="125" t="n"/>
      <c r="M7" s="125" t="n"/>
      <c r="N7" s="125" t="n"/>
      <c r="O7" s="125" t="n"/>
      <c r="P7" s="125" t="n"/>
      <c r="Q7" s="126" t="n"/>
    </row>
    <row r="8">
      <c r="A8" s="135" t="inlineStr">
        <is>
          <t>1.2.1</t>
        </is>
      </c>
      <c r="B8" s="136" t="inlineStr">
        <is>
          <t>每周项目例会（进度/风险/资源同步，对照进度基线）</t>
        </is>
      </c>
      <c r="C8" s="135" t="n">
        <v>3</v>
      </c>
      <c r="D8" s="136" t="n"/>
      <c r="E8" s="135" t="inlineStr">
        <is>
          <t>Mark</t>
        </is>
      </c>
      <c r="F8" s="148" t="n">
        <v>46286</v>
      </c>
      <c r="G8" s="148" t="n">
        <v>46386</v>
      </c>
      <c r="H8" s="138" t="n">
        <v>67</v>
      </c>
      <c r="I8" s="139" t="n">
        <v>6</v>
      </c>
      <c r="J8" s="136" t="inlineStr">
        <is>
          <t>人工主导</t>
        </is>
      </c>
      <c r="K8" s="136" t="n"/>
      <c r="L8" s="135" t="n"/>
      <c r="M8" s="135" t="n"/>
      <c r="N8" s="135" t="n"/>
      <c r="O8" s="135" t="n"/>
      <c r="P8" s="135" t="n"/>
      <c r="Q8" s="136" t="inlineStr">
        <is>
          <t>直估6·AI执行×1</t>
        </is>
      </c>
    </row>
    <row r="9">
      <c r="A9" s="135" t="inlineStr">
        <is>
          <t>1.2.2</t>
        </is>
      </c>
      <c r="B9" s="136" t="inlineStr">
        <is>
          <t>开发期每日任务同步会（每个工作日约30分钟：当日任务/阻塞/次日计划）</t>
        </is>
      </c>
      <c r="C9" s="135" t="n">
        <v>3</v>
      </c>
      <c r="D9" s="136" t="n"/>
      <c r="E9" s="135" t="inlineStr">
        <is>
          <t>Mark</t>
        </is>
      </c>
      <c r="F9" s="148" t="n">
        <v>46286</v>
      </c>
      <c r="G9" s="148" t="n">
        <v>46381</v>
      </c>
      <c r="H9" s="138" t="n">
        <v>64</v>
      </c>
      <c r="I9" s="139" t="n">
        <v>2</v>
      </c>
      <c r="J9" s="136" t="inlineStr">
        <is>
          <t>人工主导</t>
        </is>
      </c>
      <c r="K9" s="136" t="n"/>
      <c r="L9" s="135" t="n"/>
      <c r="M9" s="135" t="n"/>
      <c r="N9" s="135" t="n"/>
      <c r="O9" s="135" t="n"/>
      <c r="P9" s="135" t="n"/>
      <c r="Q9" s="136" t="inlineStr">
        <is>
          <t>直估2·AI执行×1</t>
        </is>
      </c>
    </row>
    <row r="10">
      <c r="A10" s="135" t="inlineStr">
        <is>
          <t>1.2.3</t>
        </is>
      </c>
      <c r="B10" s="136" t="inlineStr">
        <is>
          <t>进度跟踪与风险变更管理（进度计划更新/风险登记册/变更日志/外部依赖跟催）</t>
        </is>
      </c>
      <c r="C10" s="135" t="n">
        <v>3</v>
      </c>
      <c r="D10" s="136" t="n"/>
      <c r="E10" s="135" t="inlineStr">
        <is>
          <t>Mark</t>
        </is>
      </c>
      <c r="F10" s="148" t="n">
        <v>46286</v>
      </c>
      <c r="G10" s="148" t="n">
        <v>46386</v>
      </c>
      <c r="H10" s="138" t="n">
        <v>67</v>
      </c>
      <c r="I10" s="139" t="n">
        <v>1.88</v>
      </c>
      <c r="J10" s="136" t="inlineStr">
        <is>
          <t>AI辅助</t>
        </is>
      </c>
      <c r="K10" s="136" t="n"/>
      <c r="L10" s="135" t="n"/>
      <c r="M10" s="135" t="n"/>
      <c r="N10" s="135" t="n"/>
      <c r="O10" s="135" t="n"/>
      <c r="P10" s="135" t="n"/>
      <c r="Q10" s="136" t="inlineStr">
        <is>
          <t>直估2.5·AI执行×0.75</t>
        </is>
      </c>
    </row>
    <row r="11">
      <c r="A11" s="135" t="inlineStr">
        <is>
          <t>1.2.4</t>
        </is>
      </c>
      <c r="B11" s="136" t="inlineStr">
        <is>
          <t>里程碑评审会组织（M1~M6）</t>
        </is>
      </c>
      <c r="C11" s="135" t="n">
        <v>3</v>
      </c>
      <c r="D11" s="136" t="n"/>
      <c r="E11" s="135" t="inlineStr">
        <is>
          <t>Mark</t>
        </is>
      </c>
      <c r="F11" s="148" t="n">
        <v>46287</v>
      </c>
      <c r="G11" s="148" t="n">
        <v>46373</v>
      </c>
      <c r="H11" s="138" t="n">
        <v>57</v>
      </c>
      <c r="I11" s="139" t="n">
        <v>2.5</v>
      </c>
      <c r="J11" s="136" t="inlineStr">
        <is>
          <t>人工主导</t>
        </is>
      </c>
      <c r="K11" s="136" t="n"/>
      <c r="L11" s="135" t="n"/>
      <c r="M11" s="135" t="n"/>
      <c r="N11" s="135" t="n"/>
      <c r="O11" s="135" t="n"/>
      <c r="P11" s="135" t="n"/>
      <c r="Q11" s="136" t="inlineStr">
        <is>
          <t>直估2.5·AI执行×1</t>
        </is>
      </c>
    </row>
    <row r="12">
      <c r="A12" s="135" t="inlineStr">
        <is>
          <t>1.2.5</t>
        </is>
      </c>
      <c r="B12" s="136" t="inlineStr">
        <is>
          <t>会议纪要与项目文档整理（配合PM，贯穿全周期）</t>
        </is>
      </c>
      <c r="C12" s="135" t="n">
        <v>3</v>
      </c>
      <c r="D12" s="136" t="n"/>
      <c r="E12" s="135" t="inlineStr">
        <is>
          <t>Mandy</t>
        </is>
      </c>
      <c r="F12" s="148" t="n">
        <v>46286</v>
      </c>
      <c r="G12" s="148" t="n">
        <v>46386</v>
      </c>
      <c r="H12" s="138" t="n">
        <v>67</v>
      </c>
      <c r="I12" s="139" t="n">
        <v>0.75</v>
      </c>
      <c r="J12" s="136" t="inlineStr">
        <is>
          <t>AI辅助</t>
        </is>
      </c>
      <c r="K12" s="136" t="n"/>
      <c r="L12" s="135" t="n"/>
      <c r="M12" s="135" t="n"/>
      <c r="N12" s="135" t="n"/>
      <c r="O12" s="135" t="n"/>
      <c r="P12" s="135" t="n"/>
      <c r="Q12" s="136" t="inlineStr">
        <is>
          <t>直估1·AI执行×0.75</t>
        </is>
      </c>
    </row>
    <row r="13">
      <c r="A13" s="125" t="inlineStr">
        <is>
          <t>1.3</t>
        </is>
      </c>
      <c r="B13" s="126" t="inlineStr">
        <is>
          <t>项目收尾</t>
        </is>
      </c>
      <c r="C13" s="125" t="n">
        <v>2</v>
      </c>
      <c r="D13" s="126" t="n"/>
      <c r="E13" s="125" t="inlineStr">
        <is>
          <t>Mark</t>
        </is>
      </c>
      <c r="F13" s="146" t="n">
        <v>46387</v>
      </c>
      <c r="G13" s="146" t="n">
        <v>46387</v>
      </c>
      <c r="H13" s="128" t="n">
        <v>1</v>
      </c>
      <c r="I13" s="129">
        <f>ROUND(SUMPRODUCT(($C$14:$C$14=3)*(LEFT($A$14:$A$14,LEN(A13)+1)=A13&amp;".")*$I$14:$I$14),2)</f>
        <v/>
      </c>
      <c r="J13" s="126" t="n"/>
      <c r="K13" s="126" t="n"/>
      <c r="L13" s="125" t="n"/>
      <c r="M13" s="125" t="n"/>
      <c r="N13" s="125" t="n"/>
      <c r="O13" s="125" t="n"/>
      <c r="P13" s="125" t="n"/>
      <c r="Q13" s="126" t="n"/>
    </row>
    <row r="14">
      <c r="A14" s="130" t="inlineStr">
        <is>
          <t>1.3.1</t>
        </is>
      </c>
      <c r="B14" s="131" t="inlineStr">
        <is>
          <t>项目交付确认与总结会◆M7</t>
        </is>
      </c>
      <c r="C14" s="130" t="n">
        <v>3</v>
      </c>
      <c r="D14" s="131" t="inlineStr">
        <is>
          <t>交付确认单</t>
        </is>
      </c>
      <c r="E14" s="130" t="inlineStr">
        <is>
          <t>Mark</t>
        </is>
      </c>
      <c r="F14" s="147" t="n">
        <v>46387</v>
      </c>
      <c r="G14" s="147" t="n">
        <v>46387</v>
      </c>
      <c r="H14" s="133" t="n">
        <v>1</v>
      </c>
      <c r="I14" s="134" t="n">
        <v>1</v>
      </c>
      <c r="J14" s="131" t="inlineStr">
        <is>
          <t>人工主导</t>
        </is>
      </c>
      <c r="K14" s="131" t="n"/>
      <c r="L14" s="130" t="n"/>
      <c r="M14" s="130" t="n"/>
      <c r="N14" s="130" t="n"/>
      <c r="O14" s="130" t="n"/>
      <c r="P14" s="130" t="n"/>
      <c r="Q14" s="131" t="inlineStr">
        <is>
          <t>直估1·AI执行×1</t>
        </is>
      </c>
    </row>
    <row r="15">
      <c r="A15" s="120" t="inlineStr">
        <is>
          <t>2</t>
        </is>
      </c>
      <c r="B15" s="121" t="inlineStr">
        <is>
          <t>需求与分析（AI辅助）</t>
        </is>
      </c>
      <c r="C15" s="120" t="n">
        <v>1</v>
      </c>
      <c r="D15" s="121" t="n"/>
      <c r="E15" s="120" t="inlineStr">
        <is>
          <t>Mandy</t>
        </is>
      </c>
      <c r="F15" s="145" t="n">
        <v>46279</v>
      </c>
      <c r="G15" s="145" t="n">
        <v>46381</v>
      </c>
      <c r="H15" s="123" t="n">
        <v>69</v>
      </c>
      <c r="I15" s="124">
        <f>ROUND(SUMPRODUCT(($C$16:$C$28=3)*(LEFT($A$16:$A$28,LEN(A15)+1)=A15&amp;".")*$I$16:$I$28),2)</f>
        <v/>
      </c>
      <c r="J15" s="121" t="n"/>
      <c r="K15" s="121" t="n"/>
      <c r="L15" s="120" t="n"/>
      <c r="M15" s="120" t="n"/>
      <c r="N15" s="120" t="n"/>
      <c r="O15" s="120" t="n"/>
      <c r="P15" s="120" t="n"/>
      <c r="Q15" s="121" t="n"/>
    </row>
    <row r="16">
      <c r="A16" s="125" t="inlineStr">
        <is>
          <t>2.1</t>
        </is>
      </c>
      <c r="B16" s="126" t="inlineStr">
        <is>
          <t>2.1 需求调研</t>
        </is>
      </c>
      <c r="C16" s="125" t="n">
        <v>2</v>
      </c>
      <c r="D16" s="126" t="n"/>
      <c r="E16" s="125" t="inlineStr">
        <is>
          <t>Mandy</t>
        </is>
      </c>
      <c r="F16" s="146" t="n">
        <v>46279</v>
      </c>
      <c r="G16" s="146" t="n">
        <v>46283</v>
      </c>
      <c r="H16" s="128" t="n">
        <v>5</v>
      </c>
      <c r="I16" s="129">
        <f>ROUND(SUMPRODUCT(($C$17:$C$19=3)*(LEFT($A$17:$A$19,LEN(A16)+1)=A16&amp;".")*$I$17:$I$19),2)</f>
        <v/>
      </c>
      <c r="J16" s="126" t="n"/>
      <c r="K16" s="126" t="n"/>
      <c r="L16" s="125" t="n"/>
      <c r="M16" s="125" t="n"/>
      <c r="N16" s="125" t="n"/>
      <c r="O16" s="125" t="n"/>
      <c r="P16" s="125" t="n"/>
      <c r="Q16" s="126" t="n"/>
    </row>
    <row r="17">
      <c r="A17" s="135" t="inlineStr">
        <is>
          <t>2.1.1</t>
        </is>
      </c>
      <c r="B17" s="136" t="inlineStr">
        <is>
          <t>业务访谈3场（业务方×2+合规法务×1）+AI整理纪要</t>
        </is>
      </c>
      <c r="C17" s="135" t="n">
        <v>3</v>
      </c>
      <c r="D17" s="136" t="n"/>
      <c r="E17" s="135" t="inlineStr">
        <is>
          <t>Mandy</t>
        </is>
      </c>
      <c r="F17" s="148" t="n">
        <v>46279</v>
      </c>
      <c r="G17" s="148" t="n">
        <v>46280</v>
      </c>
      <c r="H17" s="138" t="n">
        <v>2</v>
      </c>
      <c r="I17" s="139" t="n">
        <v>1.5</v>
      </c>
      <c r="J17" s="136" t="inlineStr">
        <is>
          <t>AI辅助</t>
        </is>
      </c>
      <c r="K17" s="136" t="n"/>
      <c r="L17" s="135" t="n"/>
      <c r="M17" s="135" t="n"/>
      <c r="N17" s="135" t="n"/>
      <c r="O17" s="135" t="n"/>
      <c r="P17" s="135" t="n"/>
      <c r="Q17" s="136" t="inlineStr">
        <is>
          <t>直估2·AI执行×0.75</t>
        </is>
      </c>
    </row>
    <row r="18">
      <c r="A18" s="135" t="inlineStr">
        <is>
          <t>2.1.2</t>
        </is>
      </c>
      <c r="B18" s="136" t="inlineStr">
        <is>
          <t>26项功能逐条澄清+P0/P1/P2优先级标定</t>
        </is>
      </c>
      <c r="C18" s="135" t="n">
        <v>3</v>
      </c>
      <c r="D18" s="136" t="n"/>
      <c r="E18" s="135" t="inlineStr">
        <is>
          <t>Mandy</t>
        </is>
      </c>
      <c r="F18" s="148" t="n">
        <v>46280</v>
      </c>
      <c r="G18" s="148" t="n">
        <v>46282</v>
      </c>
      <c r="H18" s="138" t="n">
        <v>3</v>
      </c>
      <c r="I18" s="139" t="n">
        <v>2</v>
      </c>
      <c r="J18" s="136" t="inlineStr">
        <is>
          <t>人工主导</t>
        </is>
      </c>
      <c r="K18" s="136" t="n"/>
      <c r="L18" s="135" t="n"/>
      <c r="M18" s="135" t="n"/>
      <c r="N18" s="135" t="n"/>
      <c r="O18" s="135" t="n"/>
      <c r="P18" s="135" t="n"/>
      <c r="Q18" s="136" t="inlineStr">
        <is>
          <t>直估2·AI执行×1</t>
        </is>
      </c>
    </row>
    <row r="19">
      <c r="A19" s="135" t="inlineStr">
        <is>
          <t>2.1.3</t>
        </is>
      </c>
      <c r="B19" s="136" t="inlineStr">
        <is>
          <t>核心页面原型草图（检索/迁移任务/处置）</t>
        </is>
      </c>
      <c r="C19" s="135" t="n">
        <v>3</v>
      </c>
      <c r="D19" s="136" t="n"/>
      <c r="E19" s="135" t="inlineStr">
        <is>
          <t>Mandy</t>
        </is>
      </c>
      <c r="F19" s="148" t="n">
        <v>46282</v>
      </c>
      <c r="G19" s="148" t="n">
        <v>46283</v>
      </c>
      <c r="H19" s="138" t="n">
        <v>2</v>
      </c>
      <c r="I19" s="139" t="n">
        <v>0.65</v>
      </c>
      <c r="J19" s="136" t="inlineStr">
        <is>
          <t>AI生成+人工审核</t>
        </is>
      </c>
      <c r="K19" s="136" t="n"/>
      <c r="L19" s="135" t="n"/>
      <c r="M19" s="135" t="n"/>
      <c r="N19" s="135" t="n"/>
      <c r="O19" s="135" t="n"/>
      <c r="P19" s="135" t="n"/>
      <c r="Q19" s="136" t="inlineStr">
        <is>
          <t>直估1·AI执行×0.65</t>
        </is>
      </c>
    </row>
    <row r="20">
      <c r="A20" s="125" t="inlineStr">
        <is>
          <t>2.2</t>
        </is>
      </c>
      <c r="B20" s="126" t="inlineStr">
        <is>
          <t>2.2 需求定义与基线</t>
        </is>
      </c>
      <c r="C20" s="125" t="n">
        <v>2</v>
      </c>
      <c r="D20" s="126" t="n"/>
      <c r="E20" s="125" t="inlineStr">
        <is>
          <t>Mandy</t>
        </is>
      </c>
      <c r="F20" s="146" t="n">
        <v>46283</v>
      </c>
      <c r="G20" s="146" t="n">
        <v>46287</v>
      </c>
      <c r="H20" s="128" t="n">
        <v>3</v>
      </c>
      <c r="I20" s="129">
        <f>ROUND(SUMPRODUCT(($C$21:$C$22=3)*(LEFT($A$21:$A$22,LEN(A20)+1)=A20&amp;".")*$I$21:$I$22),2)</f>
        <v/>
      </c>
      <c r="J20" s="126" t="n"/>
      <c r="K20" s="126" t="n"/>
      <c r="L20" s="125" t="n"/>
      <c r="M20" s="125" t="n"/>
      <c r="N20" s="125" t="n"/>
      <c r="O20" s="125" t="n"/>
      <c r="P20" s="125" t="n"/>
      <c r="Q20" s="126" t="n"/>
    </row>
    <row r="21">
      <c r="A21" s="135" t="inlineStr">
        <is>
          <t>2.2.1</t>
        </is>
      </c>
      <c r="B21" s="136" t="inlineStr">
        <is>
          <t>AI生成SRS初稿（26项功能+非功能需求NFR：数据流图/归档范围矩阵/保留期矩阵+性能·安全·合规·容量基线）</t>
        </is>
      </c>
      <c r="C21" s="135" t="n">
        <v>3</v>
      </c>
      <c r="D21" s="136" t="n"/>
      <c r="E21" s="135" t="inlineStr">
        <is>
          <t>Mandy</t>
        </is>
      </c>
      <c r="F21" s="148" t="n">
        <v>46283</v>
      </c>
      <c r="G21" s="148" t="n">
        <v>46286</v>
      </c>
      <c r="H21" s="138" t="n">
        <v>2</v>
      </c>
      <c r="I21" s="139" t="n">
        <v>1.62</v>
      </c>
      <c r="J21" s="136" t="inlineStr">
        <is>
          <t>AI生成+人工审核</t>
        </is>
      </c>
      <c r="K21" s="136" t="n"/>
      <c r="L21" s="135" t="n"/>
      <c r="M21" s="135" t="n"/>
      <c r="N21" s="135" t="n"/>
      <c r="O21" s="135" t="n"/>
      <c r="P21" s="135" t="n"/>
      <c r="Q21" s="136" t="inlineStr">
        <is>
          <t>直估2.5·AI执行×0.65</t>
        </is>
      </c>
    </row>
    <row r="22">
      <c r="A22" s="130" t="inlineStr">
        <is>
          <t>2.2.2</t>
        </is>
      </c>
      <c r="B22" s="131" t="inlineStr">
        <is>
          <t>SRS评审与需求基线冻结◆M1</t>
        </is>
      </c>
      <c r="C22" s="130" t="n">
        <v>3</v>
      </c>
      <c r="D22" s="131" t="inlineStr">
        <is>
          <t>SRS V1.0、基线确认单</t>
        </is>
      </c>
      <c r="E22" s="130" t="inlineStr">
        <is>
          <t>Mandy</t>
        </is>
      </c>
      <c r="F22" s="147" t="n">
        <v>46287</v>
      </c>
      <c r="G22" s="147" t="n">
        <v>46287</v>
      </c>
      <c r="H22" s="133" t="n">
        <v>1</v>
      </c>
      <c r="I22" s="134" t="n">
        <v>1</v>
      </c>
      <c r="J22" s="131" t="inlineStr">
        <is>
          <t>人工主导</t>
        </is>
      </c>
      <c r="K22" s="131" t="inlineStr">
        <is>
          <t>2.2.1</t>
        </is>
      </c>
      <c r="L22" s="130" t="n"/>
      <c r="M22" s="130" t="n"/>
      <c r="N22" s="130" t="n"/>
      <c r="O22" s="130" t="n"/>
      <c r="P22" s="130" t="n"/>
      <c r="Q22" s="131" t="inlineStr">
        <is>
          <t>直估1·AI执行×1</t>
        </is>
      </c>
    </row>
    <row r="23">
      <c r="A23" s="125" t="inlineStr">
        <is>
          <t>2.3</t>
        </is>
      </c>
      <c r="B23" s="126" t="inlineStr">
        <is>
          <t>2.3 测试需求与非功能需求</t>
        </is>
      </c>
      <c r="C23" s="125" t="n">
        <v>2</v>
      </c>
      <c r="D23" s="126" t="n"/>
      <c r="E23" s="125" t="inlineStr">
        <is>
          <t>Mandy</t>
        </is>
      </c>
      <c r="F23" s="146" t="n">
        <v>46288</v>
      </c>
      <c r="G23" s="146" t="n">
        <v>46295</v>
      </c>
      <c r="H23" s="128" t="n">
        <v>5</v>
      </c>
      <c r="I23" s="129">
        <f>ROUND(SUMPRODUCT(($C$24:$C$26=3)*(LEFT($A$24:$A$26,LEN(A23)+1)=A23&amp;".")*$I$24:$I$26),2)</f>
        <v/>
      </c>
      <c r="J23" s="126" t="n"/>
      <c r="K23" s="126" t="n"/>
      <c r="L23" s="125" t="n"/>
      <c r="M23" s="125" t="n"/>
      <c r="N23" s="125" t="n"/>
      <c r="O23" s="125" t="n"/>
      <c r="P23" s="125" t="n"/>
      <c r="Q23" s="126" t="n"/>
    </row>
    <row r="24">
      <c r="A24" s="135" t="inlineStr">
        <is>
          <t>2.3.1</t>
        </is>
      </c>
      <c r="B24" s="136" t="inlineStr">
        <is>
          <t>NFR测试可执行化（NFR基线细化为可测验收标准：检索响应/导出吞吐/并发/越权与掩码旁路用例）</t>
        </is>
      </c>
      <c r="C24" s="135" t="n">
        <v>3</v>
      </c>
      <c r="D24" s="136" t="n"/>
      <c r="E24" s="135" t="inlineStr">
        <is>
          <t>Mandy</t>
        </is>
      </c>
      <c r="F24" s="148" t="n">
        <v>46288</v>
      </c>
      <c r="G24" s="148" t="n">
        <v>46288</v>
      </c>
      <c r="H24" s="138" t="n">
        <v>1</v>
      </c>
      <c r="I24" s="139" t="n">
        <v>0.75</v>
      </c>
      <c r="J24" s="136" t="inlineStr">
        <is>
          <t>AI辅助</t>
        </is>
      </c>
      <c r="K24" s="136" t="inlineStr">
        <is>
          <t>2.2.2</t>
        </is>
      </c>
      <c r="L24" s="135" t="n"/>
      <c r="M24" s="135" t="n"/>
      <c r="N24" s="135" t="n"/>
      <c r="O24" s="135" t="n"/>
      <c r="P24" s="135" t="n"/>
      <c r="Q24" s="136" t="inlineStr">
        <is>
          <t>直估1·AI执行×0.75</t>
        </is>
      </c>
    </row>
    <row r="25">
      <c r="A25" s="135" t="inlineStr">
        <is>
          <t>2.3.2</t>
        </is>
      </c>
      <c r="B25" s="136" t="inlineStr">
        <is>
          <t>测试计划框架+CC（Caring Center）验证场景清单</t>
        </is>
      </c>
      <c r="C25" s="135" t="n">
        <v>3</v>
      </c>
      <c r="D25" s="136" t="n"/>
      <c r="E25" s="135" t="inlineStr">
        <is>
          <t>Mandy</t>
        </is>
      </c>
      <c r="F25" s="148" t="n">
        <v>46288</v>
      </c>
      <c r="G25" s="148" t="n">
        <v>46289</v>
      </c>
      <c r="H25" s="138" t="n">
        <v>2</v>
      </c>
      <c r="I25" s="139" t="n">
        <v>1</v>
      </c>
      <c r="J25" s="136" t="inlineStr">
        <is>
          <t>人工主导</t>
        </is>
      </c>
      <c r="K25" s="136" t="inlineStr">
        <is>
          <t>2.2.2</t>
        </is>
      </c>
      <c r="L25" s="135" t="n"/>
      <c r="M25" s="135" t="n"/>
      <c r="N25" s="135" t="n"/>
      <c r="O25" s="135" t="n"/>
      <c r="P25" s="135" t="n"/>
      <c r="Q25" s="136" t="inlineStr">
        <is>
          <t>直估1·AI执行×1</t>
        </is>
      </c>
    </row>
    <row r="26">
      <c r="A26" s="135" t="inlineStr">
        <is>
          <t>2.3.3</t>
        </is>
      </c>
      <c r="B26" s="136" t="inlineStr">
        <is>
          <t>AI生成测试用例首批（F01迁移/F08用户权限系列）——AI用例生成能力试点（9/30落地验证）</t>
        </is>
      </c>
      <c r="C26" s="135" t="n">
        <v>3</v>
      </c>
      <c r="D26" s="136" t="n"/>
      <c r="E26" s="135" t="inlineStr">
        <is>
          <t>Mandy</t>
        </is>
      </c>
      <c r="F26" s="148" t="n">
        <v>46294</v>
      </c>
      <c r="G26" s="148" t="n">
        <v>46295</v>
      </c>
      <c r="H26" s="138" t="n">
        <v>2</v>
      </c>
      <c r="I26" s="139" t="n">
        <v>0.98</v>
      </c>
      <c r="J26" s="136" t="inlineStr">
        <is>
          <t>AI生成+人工审核</t>
        </is>
      </c>
      <c r="K26" s="136" t="inlineStr">
        <is>
          <t>2.3.1,2.3.2</t>
        </is>
      </c>
      <c r="L26" s="135" t="n"/>
      <c r="M26" s="135" t="n"/>
      <c r="N26" s="135" t="n"/>
      <c r="O26" s="135" t="n"/>
      <c r="P26" s="135" t="n"/>
      <c r="Q26" s="136" t="inlineStr">
        <is>
          <t>直估1.5·AI执行×0.65</t>
        </is>
      </c>
    </row>
    <row r="27">
      <c r="A27" s="125" t="inlineStr">
        <is>
          <t>2.4</t>
        </is>
      </c>
      <c r="B27" s="126" t="inlineStr">
        <is>
          <t>2.4 需求贯穿支持</t>
        </is>
      </c>
      <c r="C27" s="125" t="n">
        <v>2</v>
      </c>
      <c r="D27" s="126" t="n"/>
      <c r="E27" s="125" t="inlineStr">
        <is>
          <t>Mandy</t>
        </is>
      </c>
      <c r="F27" s="146" t="n">
        <v>46286</v>
      </c>
      <c r="G27" s="146" t="n">
        <v>46381</v>
      </c>
      <c r="H27" s="128" t="n">
        <v>64</v>
      </c>
      <c r="I27" s="129">
        <f>ROUND(SUMPRODUCT(($C$28:$C$28=3)*(LEFT($A$28:$A$28,LEN(A27)+1)=A27&amp;".")*$I$28:$I$28),2)</f>
        <v/>
      </c>
      <c r="J27" s="126" t="n"/>
      <c r="K27" s="126" t="n"/>
      <c r="L27" s="125" t="n"/>
      <c r="M27" s="125" t="n"/>
      <c r="N27" s="125" t="n"/>
      <c r="O27" s="125" t="n"/>
      <c r="P27" s="125" t="n"/>
      <c r="Q27" s="126" t="n"/>
    </row>
    <row r="28">
      <c r="A28" s="135" t="inlineStr">
        <is>
          <t>2.4.1</t>
        </is>
      </c>
      <c r="B28" s="136" t="inlineStr">
        <is>
          <t>需求澄清与变更支持（贯穿开发期：功能+非功能）</t>
        </is>
      </c>
      <c r="C28" s="135" t="n">
        <v>3</v>
      </c>
      <c r="D28" s="136" t="n"/>
      <c r="E28" s="135" t="inlineStr">
        <is>
          <t>Mandy</t>
        </is>
      </c>
      <c r="F28" s="148" t="n">
        <v>46286</v>
      </c>
      <c r="G28" s="148" t="n">
        <v>46381</v>
      </c>
      <c r="H28" s="138" t="n">
        <v>64</v>
      </c>
      <c r="I28" s="139" t="n">
        <v>0.75</v>
      </c>
      <c r="J28" s="136" t="inlineStr">
        <is>
          <t>AI辅助</t>
        </is>
      </c>
      <c r="K28" s="136" t="n"/>
      <c r="L28" s="135" t="n"/>
      <c r="M28" s="135" t="n"/>
      <c r="N28" s="135" t="n"/>
      <c r="O28" s="135" t="n"/>
      <c r="P28" s="135" t="n"/>
      <c r="Q28" s="136" t="inlineStr">
        <is>
          <t>直估1·AI执行×0.75</t>
        </is>
      </c>
    </row>
    <row r="29">
      <c r="A29" s="120" t="inlineStr">
        <is>
          <t>3</t>
        </is>
      </c>
      <c r="B29" s="121" t="inlineStr">
        <is>
          <t>架构、设计与工程基座（含测试环境先期部署）</t>
        </is>
      </c>
      <c r="C29" s="120" t="n">
        <v>1</v>
      </c>
      <c r="D29" s="121" t="n"/>
      <c r="E29" s="120" t="inlineStr">
        <is>
          <t>DevB/Mandy/Wade</t>
        </is>
      </c>
      <c r="F29" s="145" t="n">
        <v>46279</v>
      </c>
      <c r="G29" s="145" t="n">
        <v>46304</v>
      </c>
      <c r="H29" s="123" t="n">
        <v>14</v>
      </c>
      <c r="I29" s="124">
        <f>ROUND(SUMPRODUCT(($C$30:$C$61=3)*(LEFT($A$30:$A$61,LEN(A29)+1)=A29&amp;".")*$I$30:$I$61),2)</f>
        <v/>
      </c>
      <c r="J29" s="121" t="n"/>
      <c r="K29" s="121" t="n"/>
      <c r="L29" s="120" t="n"/>
      <c r="M29" s="120" t="n"/>
      <c r="N29" s="120" t="n"/>
      <c r="O29" s="120" t="n"/>
      <c r="P29" s="120" t="n"/>
      <c r="Q29" s="121" t="n"/>
    </row>
    <row r="30">
      <c r="A30" s="125" t="inlineStr">
        <is>
          <t>3.1</t>
        </is>
      </c>
      <c r="B30" s="126" t="inlineStr">
        <is>
          <t>3.1 架构与接口定稿</t>
        </is>
      </c>
      <c r="C30" s="125" t="n">
        <v>2</v>
      </c>
      <c r="D30" s="126" t="n"/>
      <c r="E30" s="125" t="inlineStr">
        <is>
          <t>Wade</t>
        </is>
      </c>
      <c r="F30" s="146" t="n">
        <v>46288</v>
      </c>
      <c r="G30" s="146" t="n">
        <v>46295</v>
      </c>
      <c r="H30" s="128" t="n">
        <v>5</v>
      </c>
      <c r="I30" s="129">
        <f>ROUND(SUMPRODUCT(($C$31:$C$35=3)*(LEFT($A$31:$A$35,LEN(A30)+1)=A30&amp;".")*$I$31:$I$35),2)</f>
        <v/>
      </c>
      <c r="J30" s="126" t="n"/>
      <c r="K30" s="126" t="n"/>
      <c r="L30" s="125" t="n"/>
      <c r="M30" s="125" t="n"/>
      <c r="N30" s="125" t="n"/>
      <c r="O30" s="125" t="n"/>
      <c r="P30" s="125" t="n"/>
      <c r="Q30" s="126" t="n"/>
    </row>
    <row r="31">
      <c r="A31" s="135" t="inlineStr">
        <is>
          <t>3.1.1</t>
        </is>
      </c>
      <c r="B31" s="136" t="inlineStr">
        <is>
          <t>UC权限模型与F05查询配置模型设计（RBAC+Unity Catalog/元数据驱动动态渲染）</t>
        </is>
      </c>
      <c r="C31" s="135" t="n">
        <v>3</v>
      </c>
      <c r="D31" s="136" t="n"/>
      <c r="E31" s="135" t="inlineStr">
        <is>
          <t>Wade</t>
        </is>
      </c>
      <c r="F31" s="148" t="n">
        <v>46288</v>
      </c>
      <c r="G31" s="148" t="n">
        <v>46289</v>
      </c>
      <c r="H31" s="138" t="n">
        <v>2</v>
      </c>
      <c r="I31" s="139" t="n">
        <v>2</v>
      </c>
      <c r="J31" s="136" t="inlineStr">
        <is>
          <t>人工主导</t>
        </is>
      </c>
      <c r="K31" s="136" t="inlineStr">
        <is>
          <t>2.2.2</t>
        </is>
      </c>
      <c r="L31" s="135" t="n"/>
      <c r="M31" s="135" t="n"/>
      <c r="N31" s="135" t="n"/>
      <c r="O31" s="135" t="n"/>
      <c r="P31" s="135" t="n"/>
      <c r="Q31" s="136" t="inlineStr">
        <is>
          <t>直估2·AI执行×1</t>
        </is>
      </c>
    </row>
    <row r="32">
      <c r="A32" s="135" t="inlineStr">
        <is>
          <t>3.1.2</t>
        </is>
      </c>
      <c r="B32" s="136" t="inlineStr">
        <is>
          <t>平台资源验收（ADLS/SQL DB/Databricks/Key Vault连通性验证）</t>
        </is>
      </c>
      <c r="C32" s="135" t="n">
        <v>3</v>
      </c>
      <c r="D32" s="136" t="n"/>
      <c r="E32" s="135" t="inlineStr">
        <is>
          <t>Wade</t>
        </is>
      </c>
      <c r="F32" s="148" t="n">
        <v>46293</v>
      </c>
      <c r="G32" s="148" t="n">
        <v>46293</v>
      </c>
      <c r="H32" s="138" t="n">
        <v>1</v>
      </c>
      <c r="I32" s="139" t="n">
        <v>0.5</v>
      </c>
      <c r="J32" s="136" t="inlineStr">
        <is>
          <t>人工主导</t>
        </is>
      </c>
      <c r="K32" s="136" t="n"/>
      <c r="L32" s="135" t="n"/>
      <c r="M32" s="135" t="n"/>
      <c r="N32" s="135" t="n"/>
      <c r="O32" s="135" t="n"/>
      <c r="P32" s="135" t="n"/>
      <c r="Q32" s="136" t="inlineStr">
        <is>
          <t>直估0.5·AI执行×1</t>
        </is>
      </c>
    </row>
    <row r="33">
      <c r="A33" s="135" t="inlineStr">
        <is>
          <t>3.1.3</t>
        </is>
      </c>
      <c r="B33" s="136" t="inlineStr">
        <is>
          <t>总体架构终稿+模块接口定义（按功能模块划分A/B边界）</t>
        </is>
      </c>
      <c r="C33" s="135" t="n">
        <v>3</v>
      </c>
      <c r="D33" s="136" t="inlineStr">
        <is>
          <t>架构设计文档V1.0、接口定义</t>
        </is>
      </c>
      <c r="E33" s="135" t="inlineStr">
        <is>
          <t>Wade</t>
        </is>
      </c>
      <c r="F33" s="148" t="n">
        <v>46293</v>
      </c>
      <c r="G33" s="148" t="n">
        <v>46294</v>
      </c>
      <c r="H33" s="138" t="n">
        <v>2</v>
      </c>
      <c r="I33" s="139" t="n">
        <v>0.75</v>
      </c>
      <c r="J33" s="136" t="inlineStr">
        <is>
          <t>AI辅助</t>
        </is>
      </c>
      <c r="K33" s="136" t="n"/>
      <c r="L33" s="135" t="n"/>
      <c r="M33" s="135" t="n"/>
      <c r="N33" s="135" t="n"/>
      <c r="O33" s="135" t="n"/>
      <c r="P33" s="135" t="n"/>
      <c r="Q33" s="136" t="inlineStr">
        <is>
          <t>直估1·AI执行×0.75</t>
        </is>
      </c>
    </row>
    <row r="34">
      <c r="A34" s="135" t="inlineStr">
        <is>
          <t>3.1.4</t>
        </is>
      </c>
      <c r="B34" s="136" t="inlineStr">
        <is>
          <t>外部架构评审#1（P0末，2h）+意见落实</t>
        </is>
      </c>
      <c r="C34" s="135" t="n">
        <v>3</v>
      </c>
      <c r="D34" s="136" t="n"/>
      <c r="E34" s="135" t="inlineStr">
        <is>
          <t>Wade</t>
        </is>
      </c>
      <c r="F34" s="148" t="n">
        <v>46294</v>
      </c>
      <c r="G34" s="148" t="n">
        <v>46294</v>
      </c>
      <c r="H34" s="138" t="n">
        <v>1</v>
      </c>
      <c r="I34" s="139" t="n">
        <v>0.5</v>
      </c>
      <c r="J34" s="136" t="inlineStr">
        <is>
          <t>人工主导</t>
        </is>
      </c>
      <c r="K34" s="136" t="n"/>
      <c r="L34" s="135" t="n"/>
      <c r="M34" s="135" t="n"/>
      <c r="N34" s="135" t="n"/>
      <c r="O34" s="135" t="n"/>
      <c r="P34" s="135" t="n"/>
      <c r="Q34" s="136" t="inlineStr">
        <is>
          <t>直估0.5·AI执行×1</t>
        </is>
      </c>
    </row>
    <row r="35">
      <c r="A35" s="130" t="inlineStr">
        <is>
          <t>3.1.5</t>
        </is>
      </c>
      <c r="B35" s="131" t="inlineStr">
        <is>
          <t>设计评审通过+模块接口冻结◆M2</t>
        </is>
      </c>
      <c r="C35" s="130" t="n">
        <v>3</v>
      </c>
      <c r="D35" s="131" t="inlineStr">
        <is>
          <t>设计评审纪要</t>
        </is>
      </c>
      <c r="E35" s="130" t="inlineStr">
        <is>
          <t>Wade</t>
        </is>
      </c>
      <c r="F35" s="147" t="n">
        <v>46295</v>
      </c>
      <c r="G35" s="147" t="n">
        <v>46295</v>
      </c>
      <c r="H35" s="133" t="n">
        <v>1</v>
      </c>
      <c r="I35" s="134" t="n">
        <v>0.5</v>
      </c>
      <c r="J35" s="131" t="inlineStr">
        <is>
          <t>人工主导</t>
        </is>
      </c>
      <c r="K35" s="131" t="inlineStr">
        <is>
          <t>3.1.3,3.1.4</t>
        </is>
      </c>
      <c r="L35" s="130" t="n"/>
      <c r="M35" s="130" t="n"/>
      <c r="N35" s="130" t="n"/>
      <c r="O35" s="130" t="n"/>
      <c r="P35" s="130" t="n"/>
      <c r="Q35" s="131" t="inlineStr">
        <is>
          <t>直估0.5·AI执行×1</t>
        </is>
      </c>
    </row>
    <row r="36">
      <c r="A36" s="125" t="inlineStr">
        <is>
          <t>3.2</t>
        </is>
      </c>
      <c r="B36" s="126" t="inlineStr">
        <is>
          <t>3.2 数据与后端设计</t>
        </is>
      </c>
      <c r="C36" s="125" t="n">
        <v>2</v>
      </c>
      <c r="D36" s="126" t="n"/>
      <c r="E36" s="125" t="inlineStr">
        <is>
          <t>DevB</t>
        </is>
      </c>
      <c r="F36" s="146" t="n">
        <v>46279</v>
      </c>
      <c r="G36" s="146" t="n">
        <v>46293</v>
      </c>
      <c r="H36" s="128" t="n">
        <v>10</v>
      </c>
      <c r="I36" s="129">
        <f>ROUND(SUMPRODUCT(($C$37:$C$43=3)*(LEFT($A$37:$A$43,LEN(A36)+1)=A36&amp;".")*$I$37:$I$43),2)</f>
        <v/>
      </c>
      <c r="J36" s="126" t="n"/>
      <c r="K36" s="126" t="n"/>
      <c r="L36" s="125" t="n"/>
      <c r="M36" s="125" t="n"/>
      <c r="N36" s="125" t="n"/>
      <c r="O36" s="125" t="n"/>
      <c r="P36" s="125" t="n"/>
      <c r="Q36" s="126" t="n"/>
    </row>
    <row r="37">
      <c r="A37" s="135" t="inlineStr">
        <is>
          <t>3.2.1</t>
        </is>
      </c>
      <c r="B37" s="136" t="inlineStr">
        <is>
          <t>目标数据模型预设计（RAW→CURATED→LAKE→SERVE四层表结构草案，与访谈澄清并行、按Scope源文件预设计）</t>
        </is>
      </c>
      <c r="C37" s="135" t="n">
        <v>3</v>
      </c>
      <c r="D37" s="136" t="n"/>
      <c r="E37" s="135" t="inlineStr">
        <is>
          <t>DevB</t>
        </is>
      </c>
      <c r="F37" s="148" t="n">
        <v>46279</v>
      </c>
      <c r="G37" s="148" t="n">
        <v>46280</v>
      </c>
      <c r="H37" s="138" t="n">
        <v>2</v>
      </c>
      <c r="I37" s="139" t="n">
        <v>1.5</v>
      </c>
      <c r="J37" s="136" t="inlineStr">
        <is>
          <t>AI辅助</t>
        </is>
      </c>
      <c r="K37" s="136" t="n"/>
      <c r="L37" s="135" t="n"/>
      <c r="M37" s="135" t="n"/>
      <c r="N37" s="135" t="n"/>
      <c r="O37" s="135" t="n"/>
      <c r="P37" s="135" t="n"/>
      <c r="Q37" s="136" t="inlineStr">
        <is>
          <t>直估2·AI执行×0.75</t>
        </is>
      </c>
    </row>
    <row r="38">
      <c r="A38" s="135" t="inlineStr">
        <is>
          <t>3.2.2</t>
        </is>
      </c>
      <c r="B38" s="136" t="inlineStr">
        <is>
          <t>外部依赖前置：平台资源申请+CC只读账号申请</t>
        </is>
      </c>
      <c r="C38" s="135" t="n">
        <v>3</v>
      </c>
      <c r="D38" s="136" t="inlineStr">
        <is>
          <t>申请单+回执</t>
        </is>
      </c>
      <c r="E38" s="135" t="inlineStr">
        <is>
          <t>DevB</t>
        </is>
      </c>
      <c r="F38" s="148" t="n">
        <v>46280</v>
      </c>
      <c r="G38" s="148" t="n">
        <v>46281</v>
      </c>
      <c r="H38" s="138" t="n">
        <v>2</v>
      </c>
      <c r="I38" s="139" t="n">
        <v>1</v>
      </c>
      <c r="J38" s="136" t="inlineStr">
        <is>
          <t>人工主导</t>
        </is>
      </c>
      <c r="K38" s="136" t="n"/>
      <c r="L38" s="135" t="n"/>
      <c r="M38" s="135" t="n"/>
      <c r="N38" s="135" t="n"/>
      <c r="O38" s="135" t="n"/>
      <c r="P38" s="135" t="n"/>
      <c r="Q38" s="136" t="inlineStr">
        <is>
          <t>直估1·AI执行×1</t>
        </is>
      </c>
    </row>
    <row r="39">
      <c r="A39" s="135" t="inlineStr">
        <is>
          <t>3.2.3</t>
        </is>
      </c>
      <c r="B39" s="136" t="inlineStr">
        <is>
          <t>元数据库建库脚本（35表DDL草案）</t>
        </is>
      </c>
      <c r="C39" s="135" t="n">
        <v>3</v>
      </c>
      <c r="D39" s="136" t="n"/>
      <c r="E39" s="135" t="inlineStr">
        <is>
          <t>DevB</t>
        </is>
      </c>
      <c r="F39" s="148" t="n">
        <v>46281</v>
      </c>
      <c r="G39" s="148" t="n">
        <v>46282</v>
      </c>
      <c r="H39" s="138" t="n">
        <v>2</v>
      </c>
      <c r="I39" s="139" t="n">
        <v>1.3</v>
      </c>
      <c r="J39" s="136" t="inlineStr">
        <is>
          <t>AI生成+人工审核</t>
        </is>
      </c>
      <c r="K39" s="136" t="n"/>
      <c r="L39" s="135" t="n"/>
      <c r="M39" s="135" t="n"/>
      <c r="N39" s="135" t="n"/>
      <c r="O39" s="135" t="n"/>
      <c r="P39" s="135" t="n"/>
      <c r="Q39" s="136" t="inlineStr">
        <is>
          <t>直估2·AI执行×0.65</t>
        </is>
      </c>
    </row>
    <row r="40">
      <c r="A40" s="135" t="inlineStr">
        <is>
          <t>3.2.4</t>
        </is>
      </c>
      <c r="B40" s="136" t="inlineStr">
        <is>
          <t>湖仓分层设计细化（分区sys_id+日期/Parquet+ZSTD/湖与附件存储划分）</t>
        </is>
      </c>
      <c r="C40" s="135" t="n">
        <v>3</v>
      </c>
      <c r="D40" s="136" t="n"/>
      <c r="E40" s="135" t="inlineStr">
        <is>
          <t>DevB</t>
        </is>
      </c>
      <c r="F40" s="148" t="n">
        <v>46282</v>
      </c>
      <c r="G40" s="148" t="n">
        <v>46286</v>
      </c>
      <c r="H40" s="138" t="n">
        <v>3</v>
      </c>
      <c r="I40" s="139" t="n">
        <v>1.5</v>
      </c>
      <c r="J40" s="136" t="inlineStr">
        <is>
          <t>AI辅助</t>
        </is>
      </c>
      <c r="K40" s="136" t="n"/>
      <c r="L40" s="135" t="n"/>
      <c r="M40" s="135" t="n"/>
      <c r="N40" s="135" t="n"/>
      <c r="O40" s="135" t="n"/>
      <c r="P40" s="135" t="n"/>
      <c r="Q40" s="136" t="inlineStr">
        <is>
          <t>直估2·AI执行×0.75</t>
        </is>
      </c>
    </row>
    <row r="41">
      <c r="A41" s="135" t="inlineStr">
        <is>
          <t>3.2.5</t>
        </is>
      </c>
      <c r="B41" s="136" t="inlineStr">
        <is>
          <t>元数据库设计定稿（ER+35表+Migration）+数据字典v1（AI辅助）</t>
        </is>
      </c>
      <c r="C41" s="135" t="n">
        <v>3</v>
      </c>
      <c r="D41" s="136" t="n"/>
      <c r="E41" s="135" t="inlineStr">
        <is>
          <t>DevB</t>
        </is>
      </c>
      <c r="F41" s="148" t="n">
        <v>46286</v>
      </c>
      <c r="G41" s="148" t="n">
        <v>46287</v>
      </c>
      <c r="H41" s="138" t="n">
        <v>2</v>
      </c>
      <c r="I41" s="139" t="n">
        <v>1.5</v>
      </c>
      <c r="J41" s="136" t="inlineStr">
        <is>
          <t>AI辅助</t>
        </is>
      </c>
      <c r="K41" s="136" t="n"/>
      <c r="L41" s="135" t="n"/>
      <c r="M41" s="135" t="n"/>
      <c r="N41" s="135" t="n"/>
      <c r="O41" s="135" t="n"/>
      <c r="P41" s="135" t="n"/>
      <c r="Q41" s="136" t="inlineStr">
        <is>
          <t>直估2·AI执行×0.75</t>
        </is>
      </c>
    </row>
    <row r="42">
      <c r="A42" s="135" t="inlineStr">
        <is>
          <t>3.2.6</t>
        </is>
      </c>
      <c r="B42" s="136" t="inlineStr">
        <is>
          <t>F01迁移方案定稿（SeaTunnel配置生成器+四层转换规则：类型映射/清洗/分区归约）</t>
        </is>
      </c>
      <c r="C42" s="135" t="n">
        <v>3</v>
      </c>
      <c r="D42" s="136" t="n"/>
      <c r="E42" s="135" t="inlineStr">
        <is>
          <t>DevB</t>
        </is>
      </c>
      <c r="F42" s="148" t="n">
        <v>46287</v>
      </c>
      <c r="G42" s="148" t="n">
        <v>46289</v>
      </c>
      <c r="H42" s="138" t="n">
        <v>3</v>
      </c>
      <c r="I42" s="139" t="n">
        <v>1.5</v>
      </c>
      <c r="J42" s="136" t="inlineStr">
        <is>
          <t>AI辅助</t>
        </is>
      </c>
      <c r="K42" s="136" t="n"/>
      <c r="L42" s="135" t="n"/>
      <c r="M42" s="135" t="n"/>
      <c r="N42" s="135" t="n"/>
      <c r="O42" s="135" t="n"/>
      <c r="P42" s="135" t="n"/>
      <c r="Q42" s="136" t="inlineStr">
        <is>
          <t>直估2·AI执行×0.75</t>
        </is>
      </c>
    </row>
    <row r="43">
      <c r="A43" s="135" t="inlineStr">
        <is>
          <t>3.2.7</t>
        </is>
      </c>
      <c r="B43" s="136" t="inlineStr">
        <is>
          <t>F04与非功能设计定稿（加密/密钥/备份灾备方案+性能容量与「数据不出境」合规基线）</t>
        </is>
      </c>
      <c r="C43" s="135" t="n">
        <v>3</v>
      </c>
      <c r="D43" s="136" t="n"/>
      <c r="E43" s="135" t="inlineStr">
        <is>
          <t>DevB</t>
        </is>
      </c>
      <c r="F43" s="148" t="n">
        <v>46289</v>
      </c>
      <c r="G43" s="148" t="n">
        <v>46293</v>
      </c>
      <c r="H43" s="138" t="n">
        <v>2</v>
      </c>
      <c r="I43" s="139" t="n">
        <v>0.75</v>
      </c>
      <c r="J43" s="136" t="inlineStr">
        <is>
          <t>AI辅助</t>
        </is>
      </c>
      <c r="K43" s="136" t="inlineStr">
        <is>
          <t>2.3.1</t>
        </is>
      </c>
      <c r="L43" s="135" t="n"/>
      <c r="M43" s="135" t="n"/>
      <c r="N43" s="135" t="n"/>
      <c r="O43" s="135" t="n"/>
      <c r="P43" s="135" t="n"/>
      <c r="Q43" s="136" t="inlineStr">
        <is>
          <t>直估1·AI执行×0.75</t>
        </is>
      </c>
    </row>
    <row r="44">
      <c r="A44" s="125" t="inlineStr">
        <is>
          <t>3.3</t>
        </is>
      </c>
      <c r="B44" s="126" t="inlineStr">
        <is>
          <t>3.3 工程初始化与开发基座（N1）</t>
        </is>
      </c>
      <c r="C44" s="125" t="n">
        <v>2</v>
      </c>
      <c r="D44" s="126" t="n"/>
      <c r="E44" s="125" t="inlineStr">
        <is>
          <t>DevB/Mandy/Wade</t>
        </is>
      </c>
      <c r="F44" s="146" t="n">
        <v>46279</v>
      </c>
      <c r="G44" s="146" t="n">
        <v>46304</v>
      </c>
      <c r="H44" s="128" t="n">
        <v>14</v>
      </c>
      <c r="I44" s="129">
        <f>ROUND(SUMPRODUCT(($C$45:$C$54=3)*(LEFT($A$45:$A$54,LEN(A44)+1)=A44&amp;".")*$I$45:$I$54),2)</f>
        <v/>
      </c>
      <c r="J44" s="126" t="n"/>
      <c r="K44" s="126" t="n"/>
      <c r="L44" s="125" t="n"/>
      <c r="M44" s="125" t="n"/>
      <c r="N44" s="125" t="n"/>
      <c r="O44" s="125" t="n"/>
      <c r="P44" s="125" t="n"/>
      <c r="Q44" s="126" t="n"/>
    </row>
    <row r="45">
      <c r="A45" s="135" t="inlineStr">
        <is>
          <t>3.3.1</t>
        </is>
      </c>
      <c r="B45" s="136" t="inlineStr">
        <is>
          <t>开发基座与门禁验证（N1：环境可用性+门禁拦截演示确认）</t>
        </is>
      </c>
      <c r="C45" s="135" t="n">
        <v>3</v>
      </c>
      <c r="D45" s="136" t="n"/>
      <c r="E45" s="135" t="inlineStr">
        <is>
          <t>Mandy</t>
        </is>
      </c>
      <c r="F45" s="148" t="n">
        <v>46295</v>
      </c>
      <c r="G45" s="148" t="n">
        <v>46303</v>
      </c>
      <c r="H45" s="138" t="n">
        <v>2</v>
      </c>
      <c r="I45" s="139" t="n">
        <v>1.25</v>
      </c>
      <c r="J45" s="136" t="inlineStr">
        <is>
          <t>人工主导</t>
        </is>
      </c>
      <c r="K45" s="136" t="n"/>
      <c r="L45" s="135" t="n"/>
      <c r="M45" s="135" t="n"/>
      <c r="N45" s="135" t="n"/>
      <c r="O45" s="135" t="n"/>
      <c r="P45" s="135" t="n"/>
      <c r="Q45" s="136" t="inlineStr">
        <is>
          <t>直估1.25·AI执行×1</t>
        </is>
      </c>
    </row>
    <row r="46">
      <c r="A46" s="135" t="inlineStr">
        <is>
          <t>3.3.2</t>
        </is>
      </c>
      <c r="B46" s="136" t="inlineStr">
        <is>
          <t>SLC文档汇编：工程基座（N1）</t>
        </is>
      </c>
      <c r="C46" s="135" t="n">
        <v>3</v>
      </c>
      <c r="D46" s="136" t="n"/>
      <c r="E46" s="135" t="inlineStr">
        <is>
          <t>Mandy</t>
        </is>
      </c>
      <c r="F46" s="148" t="n">
        <v>46304</v>
      </c>
      <c r="G46" s="148" t="n">
        <v>46304</v>
      </c>
      <c r="H46" s="138" t="n">
        <v>1</v>
      </c>
      <c r="I46" s="139" t="n">
        <v>0.38</v>
      </c>
      <c r="J46" s="136" t="inlineStr">
        <is>
          <t>AI辅助</t>
        </is>
      </c>
      <c r="K46" s="136" t="inlineStr">
        <is>
          <t>3.3.1</t>
        </is>
      </c>
      <c r="L46" s="135" t="n"/>
      <c r="M46" s="135" t="n"/>
      <c r="N46" s="135" t="n"/>
      <c r="O46" s="135" t="n"/>
      <c r="P46" s="135" t="n"/>
      <c r="Q46" s="136" t="inlineStr">
        <is>
          <t>直估0.5·AI执行×0.75</t>
        </is>
      </c>
    </row>
    <row r="47">
      <c r="A47" s="135" t="inlineStr">
        <is>
          <t>3.3.3</t>
        </is>
      </c>
      <c r="B47" s="136" t="inlineStr">
        <is>
          <t>项目初始化（代码仓库/分支策略/开发环境统一/AI工具账号）</t>
        </is>
      </c>
      <c r="C47" s="135" t="n">
        <v>3</v>
      </c>
      <c r="D47" s="136" t="inlineStr">
        <is>
          <t>初始化核对清单</t>
        </is>
      </c>
      <c r="E47" s="135" t="inlineStr">
        <is>
          <t>Wade</t>
        </is>
      </c>
      <c r="F47" s="148" t="n">
        <v>46279</v>
      </c>
      <c r="G47" s="148" t="n">
        <v>46279</v>
      </c>
      <c r="H47" s="138" t="n">
        <v>1</v>
      </c>
      <c r="I47" s="139" t="n">
        <v>1</v>
      </c>
      <c r="J47" s="136" t="inlineStr">
        <is>
          <t>人工主导</t>
        </is>
      </c>
      <c r="K47" s="136" t="n"/>
      <c r="L47" s="135" t="n"/>
      <c r="M47" s="135" t="n"/>
      <c r="N47" s="135" t="n"/>
      <c r="O47" s="135" t="n"/>
      <c r="P47" s="135" t="n"/>
      <c r="Q47" s="136" t="inlineStr">
        <is>
          <t>直估1·AI执行×1</t>
        </is>
      </c>
    </row>
    <row r="48">
      <c r="A48" s="135" t="inlineStr">
        <is>
          <t>3.3.4</t>
        </is>
      </c>
      <c r="B48" s="136" t="inlineStr">
        <is>
          <t>AI开发工具链与编码规范（提示词模板库/人机协作规约/ADR规范）</t>
        </is>
      </c>
      <c r="C48" s="135" t="n">
        <v>3</v>
      </c>
      <c r="D48" s="136" t="n"/>
      <c r="E48" s="135" t="inlineStr">
        <is>
          <t>Wade</t>
        </is>
      </c>
      <c r="F48" s="148" t="n">
        <v>46280</v>
      </c>
      <c r="G48" s="148" t="n">
        <v>46280</v>
      </c>
      <c r="H48" s="138" t="n">
        <v>1</v>
      </c>
      <c r="I48" s="139" t="n">
        <v>1</v>
      </c>
      <c r="J48" s="136" t="inlineStr">
        <is>
          <t>人工主导</t>
        </is>
      </c>
      <c r="K48" s="136" t="n"/>
      <c r="L48" s="135" t="n"/>
      <c r="M48" s="135" t="n"/>
      <c r="N48" s="135" t="n"/>
      <c r="O48" s="135" t="n"/>
      <c r="P48" s="135" t="n"/>
      <c r="Q48" s="136" t="inlineStr">
        <is>
          <t>直估1·AI执行×1</t>
        </is>
      </c>
    </row>
    <row r="49">
      <c r="A49" s="135" t="inlineStr">
        <is>
          <t>3.3.5</t>
        </is>
      </c>
      <c r="B49" s="136" t="inlineStr">
        <is>
          <t>前端工程初始化（React骨架/路由/布局/组件库/状态管理/构建链）</t>
        </is>
      </c>
      <c r="C49" s="135" t="n">
        <v>3</v>
      </c>
      <c r="D49" s="136" t="n"/>
      <c r="E49" s="135" t="inlineStr">
        <is>
          <t>Wade</t>
        </is>
      </c>
      <c r="F49" s="148" t="n">
        <v>46281</v>
      </c>
      <c r="G49" s="148" t="n">
        <v>46281</v>
      </c>
      <c r="H49" s="138" t="n">
        <v>1</v>
      </c>
      <c r="I49" s="139" t="n">
        <v>0.98</v>
      </c>
      <c r="J49" s="136" t="inlineStr">
        <is>
          <t>AI生成+人工审核</t>
        </is>
      </c>
      <c r="K49" s="136" t="n"/>
      <c r="L49" s="135" t="n"/>
      <c r="M49" s="135" t="n"/>
      <c r="N49" s="135" t="n"/>
      <c r="O49" s="135" t="n"/>
      <c r="P49" s="135" t="n"/>
      <c r="Q49" s="136" t="inlineStr">
        <is>
          <t>直估1.5·AI执行×0.65</t>
        </is>
      </c>
    </row>
    <row r="50">
      <c r="A50" s="135" t="inlineStr">
        <is>
          <t>3.3.6</t>
        </is>
      </c>
      <c r="B50" s="136" t="inlineStr">
        <is>
          <t>四道安全门禁CI/CD搭建（Azure DevOps：构建+镜像+SAST/依赖/密钥扫描/越权用例门禁，流水线落地与拦截演示）</t>
        </is>
      </c>
      <c r="C50" s="135" t="n">
        <v>3</v>
      </c>
      <c r="D50" s="136" t="inlineStr">
        <is>
          <t>CI/CD流水线（4道硬门禁）</t>
        </is>
      </c>
      <c r="E50" s="135" t="inlineStr">
        <is>
          <t>Wade</t>
        </is>
      </c>
      <c r="F50" s="148" t="n">
        <v>46281</v>
      </c>
      <c r="G50" s="148" t="n">
        <v>46283</v>
      </c>
      <c r="H50" s="138" t="n">
        <v>3</v>
      </c>
      <c r="I50" s="139" t="n">
        <v>1.95</v>
      </c>
      <c r="J50" s="136" t="inlineStr">
        <is>
          <t>AI生成+人工审核</t>
        </is>
      </c>
      <c r="K50" s="136" t="n"/>
      <c r="L50" s="135" t="n"/>
      <c r="M50" s="135" t="n"/>
      <c r="N50" s="135" t="n"/>
      <c r="O50" s="135" t="n"/>
      <c r="P50" s="135" t="n"/>
      <c r="Q50" s="136" t="inlineStr">
        <is>
          <t>直估3·AI执行×0.65</t>
        </is>
      </c>
    </row>
    <row r="51">
      <c r="A51" s="135" t="inlineStr">
        <is>
          <t>3.3.7</t>
        </is>
      </c>
      <c r="B51" s="136" t="inlineStr">
        <is>
          <t>项目初始化（开发环境统一·B侧）</t>
        </is>
      </c>
      <c r="C51" s="135" t="n">
        <v>3</v>
      </c>
      <c r="D51" s="136" t="n"/>
      <c r="E51" s="135" t="inlineStr">
        <is>
          <t>DevB</t>
        </is>
      </c>
      <c r="F51" s="148" t="n">
        <v>46293</v>
      </c>
      <c r="G51" s="148" t="n">
        <v>46293</v>
      </c>
      <c r="H51" s="138" t="n">
        <v>1</v>
      </c>
      <c r="I51" s="139" t="n">
        <v>0.25</v>
      </c>
      <c r="J51" s="136" t="inlineStr">
        <is>
          <t>人工主导</t>
        </is>
      </c>
      <c r="K51" s="136" t="n"/>
      <c r="L51" s="135" t="n"/>
      <c r="M51" s="135" t="n"/>
      <c r="N51" s="135" t="n"/>
      <c r="O51" s="135" t="n"/>
      <c r="P51" s="135" t="n"/>
      <c r="Q51" s="136" t="inlineStr">
        <is>
          <t>直估0.25·AI执行×1</t>
        </is>
      </c>
    </row>
    <row r="52">
      <c r="A52" s="135" t="inlineStr">
        <is>
          <t>3.3.8</t>
        </is>
      </c>
      <c r="B52" s="136" t="inlineStr">
        <is>
          <t>后端工程初始化（.NET Clean Architecture/EF Core/Docker Compose本地环境）</t>
        </is>
      </c>
      <c r="C52" s="135" t="n">
        <v>3</v>
      </c>
      <c r="D52" s="136" t="n"/>
      <c r="E52" s="135" t="inlineStr">
        <is>
          <t>DevB</t>
        </is>
      </c>
      <c r="F52" s="148" t="n">
        <v>46293</v>
      </c>
      <c r="G52" s="148" t="n">
        <v>46294</v>
      </c>
      <c r="H52" s="138" t="n">
        <v>2</v>
      </c>
      <c r="I52" s="139" t="n">
        <v>0.98</v>
      </c>
      <c r="J52" s="136" t="inlineStr">
        <is>
          <t>AI生成+人工审核</t>
        </is>
      </c>
      <c r="K52" s="136" t="n"/>
      <c r="L52" s="135" t="n"/>
      <c r="M52" s="135" t="n"/>
      <c r="N52" s="135" t="n"/>
      <c r="O52" s="135" t="n"/>
      <c r="P52" s="135" t="n"/>
      <c r="Q52" s="136" t="inlineStr">
        <is>
          <t>直估1.5·AI执行×0.65</t>
        </is>
      </c>
    </row>
    <row r="53">
      <c r="A53" s="135" t="inlineStr">
        <is>
          <t>3.3.9</t>
        </is>
      </c>
      <c r="B53" s="136" t="inlineStr">
        <is>
          <t>AI开发工具链与编码规范（B侧对齐）</t>
        </is>
      </c>
      <c r="C53" s="135" t="n">
        <v>3</v>
      </c>
      <c r="D53" s="136" t="n"/>
      <c r="E53" s="135" t="inlineStr">
        <is>
          <t>DevB</t>
        </is>
      </c>
      <c r="F53" s="148" t="n">
        <v>46294</v>
      </c>
      <c r="G53" s="148" t="n">
        <v>46294</v>
      </c>
      <c r="H53" s="138" t="n">
        <v>1</v>
      </c>
      <c r="I53" s="139" t="n">
        <v>0.25</v>
      </c>
      <c r="J53" s="136" t="inlineStr">
        <is>
          <t>人工主导</t>
        </is>
      </c>
      <c r="K53" s="136" t="n"/>
      <c r="L53" s="135" t="n"/>
      <c r="M53" s="135" t="n"/>
      <c r="N53" s="135" t="n"/>
      <c r="O53" s="135" t="n"/>
      <c r="P53" s="135" t="n"/>
      <c r="Q53" s="136" t="inlineStr">
        <is>
          <t>直估0.25·AI执行×1</t>
        </is>
      </c>
    </row>
    <row r="54">
      <c r="A54" s="135" t="inlineStr">
        <is>
          <t>3.3.10</t>
        </is>
      </c>
      <c r="B54" s="136" t="inlineStr">
        <is>
          <t>四道安全门禁CI/CD搭建（B侧：镜像与扫描环境）</t>
        </is>
      </c>
      <c r="C54" s="135" t="n">
        <v>3</v>
      </c>
      <c r="D54" s="136" t="n"/>
      <c r="E54" s="135" t="inlineStr">
        <is>
          <t>DevB</t>
        </is>
      </c>
      <c r="F54" s="148" t="n">
        <v>46294</v>
      </c>
      <c r="G54" s="148" t="n">
        <v>46294</v>
      </c>
      <c r="H54" s="138" t="n">
        <v>1</v>
      </c>
      <c r="I54" s="139" t="n">
        <v>0.33</v>
      </c>
      <c r="J54" s="136" t="inlineStr">
        <is>
          <t>AI生成+人工审核</t>
        </is>
      </c>
      <c r="K54" s="136" t="n"/>
      <c r="L54" s="135" t="n"/>
      <c r="M54" s="135" t="n"/>
      <c r="N54" s="135" t="n"/>
      <c r="O54" s="135" t="n"/>
      <c r="P54" s="135" t="n"/>
      <c r="Q54" s="136" t="inlineStr">
        <is>
          <t>直估0.5·AI执行×0.65</t>
        </is>
      </c>
    </row>
    <row r="55">
      <c r="A55" s="125" t="inlineStr">
        <is>
          <t>3.4</t>
        </is>
      </c>
      <c r="B55" s="126" t="inlineStr">
        <is>
          <t>3.4 部署流水线与测试环境先期部署（N4-1/2/3）</t>
        </is>
      </c>
      <c r="C55" s="125" t="n">
        <v>2</v>
      </c>
      <c r="D55" s="126" t="n"/>
      <c r="E55" s="125" t="inlineStr">
        <is>
          <t>DevB/Mandy/Wade</t>
        </is>
      </c>
      <c r="F55" s="146" t="n">
        <v>46286</v>
      </c>
      <c r="G55" s="146" t="n">
        <v>46304</v>
      </c>
      <c r="H55" s="128" t="n">
        <v>9</v>
      </c>
      <c r="I55" s="129">
        <f>ROUND(SUMPRODUCT(($C$56:$C$61=3)*(LEFT($A$56:$A$61,LEN(A55)+1)=A55&amp;".")*$I$56:$I$61),2)</f>
        <v/>
      </c>
      <c r="J55" s="126" t="n"/>
      <c r="K55" s="126" t="n"/>
      <c r="L55" s="125" t="n"/>
      <c r="M55" s="125" t="n"/>
      <c r="N55" s="125" t="n"/>
      <c r="O55" s="125" t="n"/>
      <c r="P55" s="125" t="n"/>
      <c r="Q55" s="126" t="n"/>
    </row>
    <row r="56">
      <c r="A56" s="135" t="inlineStr">
        <is>
          <t>3.4.1</t>
        </is>
      </c>
      <c r="B56" s="136" t="inlineStr">
        <is>
          <t>测试环境先期部署验证（N4-3）</t>
        </is>
      </c>
      <c r="C56" s="135" t="n">
        <v>3</v>
      </c>
      <c r="D56" s="136" t="n"/>
      <c r="E56" s="135" t="inlineStr">
        <is>
          <t>Mandy</t>
        </is>
      </c>
      <c r="F56" s="148" t="n">
        <v>46304</v>
      </c>
      <c r="G56" s="148" t="n">
        <v>46304</v>
      </c>
      <c r="H56" s="138" t="n">
        <v>1</v>
      </c>
      <c r="I56" s="139" t="n">
        <v>0.25</v>
      </c>
      <c r="J56" s="136" t="inlineStr">
        <is>
          <t>人工主导</t>
        </is>
      </c>
      <c r="K56" s="136" t="n"/>
      <c r="L56" s="135" t="n"/>
      <c r="M56" s="135" t="n"/>
      <c r="N56" s="135" t="n"/>
      <c r="O56" s="135" t="n"/>
      <c r="P56" s="135" t="n"/>
      <c r="Q56" s="136" t="inlineStr">
        <is>
          <t>直估0.25·AI执行×1</t>
        </is>
      </c>
    </row>
    <row r="57">
      <c r="A57" s="135" t="inlineStr">
        <is>
          <t>3.4.2</t>
        </is>
      </c>
      <c r="B57" s="136" t="inlineStr">
        <is>
          <t>Azure DevOps连接K8s与CI/CD部署流水线（Service Connection/命名空间RBAC授权、构建→镜像→部署K8s流水线·测试/生产两套、生产环境审批门禁）</t>
        </is>
      </c>
      <c r="C57" s="135" t="n">
        <v>3</v>
      </c>
      <c r="D57" s="136" t="n"/>
      <c r="E57" s="135" t="inlineStr">
        <is>
          <t>Wade</t>
        </is>
      </c>
      <c r="F57" s="148" t="n">
        <v>46286</v>
      </c>
      <c r="G57" s="148" t="n">
        <v>46286</v>
      </c>
      <c r="H57" s="138" t="n">
        <v>1</v>
      </c>
      <c r="I57" s="139" t="n">
        <v>0.8100000000000001</v>
      </c>
      <c r="J57" s="136" t="inlineStr">
        <is>
          <t>AI生成+人工审核</t>
        </is>
      </c>
      <c r="K57" s="136" t="inlineStr">
        <is>
          <t>3.3.6</t>
        </is>
      </c>
      <c r="L57" s="135" t="n"/>
      <c r="M57" s="135" t="n"/>
      <c r="N57" s="135" t="n"/>
      <c r="O57" s="135" t="n"/>
      <c r="P57" s="135" t="n"/>
      <c r="Q57" s="136" t="inlineStr">
        <is>
          <t>直估1.25·AI执行×0.65</t>
        </is>
      </c>
    </row>
    <row r="58">
      <c r="A58" s="135" t="inlineStr">
        <is>
          <t>3.4.3</t>
        </is>
      </c>
      <c r="B58" s="136" t="inlineStr">
        <is>
          <t>K8s发布清单与环境配置（原生清单Deployment/Service/Ingress/ConfigMap+Secret·不用Helm、测试/生产两套配置、镜像标签策略）</t>
        </is>
      </c>
      <c r="C58" s="135" t="n">
        <v>3</v>
      </c>
      <c r="D58" s="136" t="n"/>
      <c r="E58" s="135" t="inlineStr">
        <is>
          <t>Wade</t>
        </is>
      </c>
      <c r="F58" s="148" t="n">
        <v>46286</v>
      </c>
      <c r="G58" s="148" t="n">
        <v>46287</v>
      </c>
      <c r="H58" s="138" t="n">
        <v>2</v>
      </c>
      <c r="I58" s="139" t="n">
        <v>0.65</v>
      </c>
      <c r="J58" s="136" t="inlineStr">
        <is>
          <t>AI生成+人工审核</t>
        </is>
      </c>
      <c r="K58" s="136" t="n"/>
      <c r="L58" s="135" t="n"/>
      <c r="M58" s="135" t="n"/>
      <c r="N58" s="135" t="n"/>
      <c r="O58" s="135" t="n"/>
      <c r="P58" s="135" t="n"/>
      <c r="Q58" s="136" t="inlineStr">
        <is>
          <t>直估1·AI执行×0.65</t>
        </is>
      </c>
    </row>
    <row r="59">
      <c r="A59" s="135" t="inlineStr">
        <is>
          <t>3.4.4</t>
        </is>
      </c>
      <c r="B59" s="136" t="inlineStr">
        <is>
          <t>Azure DevOps连接K8s与CI/CD部署流水线（B侧：集群命名空间与镜像仓库对接）</t>
        </is>
      </c>
      <c r="C59" s="135" t="n">
        <v>3</v>
      </c>
      <c r="D59" s="136" t="n"/>
      <c r="E59" s="135" t="inlineStr">
        <is>
          <t>DevB</t>
        </is>
      </c>
      <c r="F59" s="148" t="n">
        <v>46295</v>
      </c>
      <c r="G59" s="148" t="n">
        <v>46295</v>
      </c>
      <c r="H59" s="138" t="n">
        <v>1</v>
      </c>
      <c r="I59" s="139" t="n">
        <v>0.33</v>
      </c>
      <c r="J59" s="136" t="inlineStr">
        <is>
          <t>AI生成+人工审核</t>
        </is>
      </c>
      <c r="K59" s="136" t="inlineStr">
        <is>
          <t>3.3.10</t>
        </is>
      </c>
      <c r="L59" s="135" t="n"/>
      <c r="M59" s="135" t="n"/>
      <c r="N59" s="135" t="n"/>
      <c r="O59" s="135" t="n"/>
      <c r="P59" s="135" t="n"/>
      <c r="Q59" s="136" t="inlineStr">
        <is>
          <t>直估0.5·AI执行×0.65</t>
        </is>
      </c>
    </row>
    <row r="60">
      <c r="A60" s="135" t="inlineStr">
        <is>
          <t>3.4.5</t>
        </is>
      </c>
      <c r="B60" s="136" t="inlineStr">
        <is>
          <t>K8s发布清单与环境配置（B侧：环境参数与密钥配置）</t>
        </is>
      </c>
      <c r="C60" s="135" t="n">
        <v>3</v>
      </c>
      <c r="D60" s="136" t="n"/>
      <c r="E60" s="135" t="inlineStr">
        <is>
          <t>DevB</t>
        </is>
      </c>
      <c r="F60" s="148" t="n">
        <v>46295</v>
      </c>
      <c r="G60" s="148" t="n">
        <v>46295</v>
      </c>
      <c r="H60" s="138" t="n">
        <v>1</v>
      </c>
      <c r="I60" s="139" t="n">
        <v>0.16</v>
      </c>
      <c r="J60" s="136" t="inlineStr">
        <is>
          <t>AI生成+人工审核</t>
        </is>
      </c>
      <c r="K60" s="136" t="n"/>
      <c r="L60" s="135" t="n"/>
      <c r="M60" s="135" t="n"/>
      <c r="N60" s="135" t="n"/>
      <c r="O60" s="135" t="n"/>
      <c r="P60" s="135" t="n"/>
      <c r="Q60" s="136" t="inlineStr">
        <is>
          <t>直估0.25·AI执行×0.65</t>
        </is>
      </c>
    </row>
    <row r="61">
      <c r="A61" s="135" t="inlineStr">
        <is>
          <t>3.4.6</t>
        </is>
      </c>
      <c r="B61" s="136" t="inlineStr">
        <is>
          <t>测试环境先期部署（早期先部署测试环境，供联调/集成/系统测试；随迭代由流水线自动更新）</t>
        </is>
      </c>
      <c r="C61" s="135" t="n">
        <v>3</v>
      </c>
      <c r="D61" s="136" t="inlineStr">
        <is>
          <t>测试环境（K8s）</t>
        </is>
      </c>
      <c r="E61" s="135" t="inlineStr">
        <is>
          <t>DevB</t>
        </is>
      </c>
      <c r="F61" s="148" t="n">
        <v>46303</v>
      </c>
      <c r="G61" s="148" t="n">
        <v>46303</v>
      </c>
      <c r="H61" s="138" t="n">
        <v>1</v>
      </c>
      <c r="I61" s="139" t="n">
        <v>0.45</v>
      </c>
      <c r="J61" s="136" t="inlineStr">
        <is>
          <t>自动化流水线</t>
        </is>
      </c>
      <c r="K61" s="136" t="inlineStr">
        <is>
          <t>3.4.4,3.4.2</t>
        </is>
      </c>
      <c r="L61" s="135" t="n"/>
      <c r="M61" s="135" t="n"/>
      <c r="N61" s="135" t="n"/>
      <c r="O61" s="135" t="n"/>
      <c r="P61" s="135" t="n"/>
      <c r="Q61" s="136" t="inlineStr">
        <is>
          <t>测试环境早期部署，M3前就绪；直估0.5·AI执行×0.9</t>
        </is>
      </c>
    </row>
    <row r="62">
      <c r="A62" s="120" t="inlineStr">
        <is>
          <t>4</t>
        </is>
      </c>
      <c r="B62" s="121" t="inlineStr">
        <is>
          <t>开发一·批次1：用户权限F08+存量迁移F01+元数据F02（样本端到端M3）</t>
        </is>
      </c>
      <c r="C62" s="120" t="n">
        <v>1</v>
      </c>
      <c r="D62" s="121" t="n"/>
      <c r="E62" s="120" t="inlineStr">
        <is>
          <t>DevB/Mandy/Wade</t>
        </is>
      </c>
      <c r="F62" s="145" t="n">
        <v>46295</v>
      </c>
      <c r="G62" s="145" t="n">
        <v>46338</v>
      </c>
      <c r="H62" s="123" t="n">
        <v>27</v>
      </c>
      <c r="I62" s="124">
        <f>ROUND(SUMPRODUCT(($C$63:$C$173=3)*(LEFT($A$63:$A$173,LEN(A62)+1)=A62&amp;".")*$I$63:$I$173),2)</f>
        <v/>
      </c>
      <c r="J62" s="121" t="n"/>
      <c r="K62" s="121" t="n"/>
      <c r="L62" s="120" t="n"/>
      <c r="M62" s="120" t="n"/>
      <c r="N62" s="120" t="n"/>
      <c r="O62" s="120" t="n"/>
      <c r="P62" s="120" t="n"/>
      <c r="Q62" s="121" t="n"/>
    </row>
    <row r="63">
      <c r="A63" s="125" t="inlineStr">
        <is>
          <t>4.1</t>
        </is>
      </c>
      <c r="B63" s="126" t="inlineStr">
        <is>
          <t>F08-01 F08-01 基础角色权限配置</t>
        </is>
      </c>
      <c r="C63" s="125" t="n">
        <v>2</v>
      </c>
      <c r="D63" s="126" t="n"/>
      <c r="E63" s="125" t="inlineStr">
        <is>
          <t>DevB/Mandy/Wade</t>
        </is>
      </c>
      <c r="F63" s="146" t="n">
        <v>46295</v>
      </c>
      <c r="G63" s="146" t="n">
        <v>46317</v>
      </c>
      <c r="H63" s="128" t="n">
        <v>12</v>
      </c>
      <c r="I63" s="129">
        <f>ROUND(SUMPRODUCT(($C$64:$C$70=3)*(LEFT($A$64:$A$70,LEN(A63)+1)=A63&amp;".")*$I$64:$I$70),2)</f>
        <v/>
      </c>
      <c r="J63" s="126" t="n"/>
      <c r="K63" s="126" t="n"/>
      <c r="L63" s="125" t="n"/>
      <c r="M63" s="125" t="n"/>
      <c r="N63" s="125" t="n"/>
      <c r="O63" s="125" t="n"/>
      <c r="P63" s="125" t="n"/>
      <c r="Q63" s="126" t="n"/>
    </row>
    <row r="64">
      <c r="A64" s="135" t="inlineStr">
        <is>
          <t>4.1.1</t>
        </is>
      </c>
      <c r="B64" s="136" t="inlineStr">
        <is>
          <t>BA：需求澄清与规则定义（F08-01）</t>
        </is>
      </c>
      <c r="C64" s="135" t="n">
        <v>3</v>
      </c>
      <c r="D64" s="136" t="n"/>
      <c r="E64" s="135" t="inlineStr">
        <is>
          <t>Mandy</t>
        </is>
      </c>
      <c r="F64" s="148" t="n">
        <v>46304</v>
      </c>
      <c r="G64" s="148" t="n">
        <v>46307</v>
      </c>
      <c r="H64" s="138" t="n">
        <v>2</v>
      </c>
      <c r="I64" s="139" t="n">
        <v>0.75</v>
      </c>
      <c r="J64" s="136" t="inlineStr">
        <is>
          <t>AI辅助</t>
        </is>
      </c>
      <c r="K64" s="136" t="inlineStr">
        <is>
          <t>2.2.2</t>
        </is>
      </c>
      <c r="L64" s="135" t="n"/>
      <c r="M64" s="135" t="n"/>
      <c r="N64" s="135" t="n"/>
      <c r="O64" s="135" t="n"/>
      <c r="P64" s="135" t="n"/>
      <c r="Q64" s="136" t="inlineStr">
        <is>
          <t>直估1·AI执行×0.75</t>
        </is>
      </c>
    </row>
    <row r="65">
      <c r="A65" s="135" t="inlineStr">
        <is>
          <t>4.1.2</t>
        </is>
      </c>
      <c r="B65" s="136" t="inlineStr">
        <is>
          <t>测试：用例设计与执行（F08-01·测试左移：AI用例随BA澄清先行、随CI构建持续验证）</t>
        </is>
      </c>
      <c r="C65" s="135" t="n">
        <v>3</v>
      </c>
      <c r="D65" s="136" t="n"/>
      <c r="E65" s="135" t="inlineStr">
        <is>
          <t>Mandy</t>
        </is>
      </c>
      <c r="F65" s="148" t="n">
        <v>46315</v>
      </c>
      <c r="G65" s="148" t="n">
        <v>46316</v>
      </c>
      <c r="H65" s="138" t="n">
        <v>2</v>
      </c>
      <c r="I65" s="139" t="n">
        <v>0.9</v>
      </c>
      <c r="J65" s="136" t="inlineStr">
        <is>
          <t>AI生成用例+人工审校执行</t>
        </is>
      </c>
      <c r="K65" s="136" t="inlineStr">
        <is>
          <t>4.1.1</t>
        </is>
      </c>
      <c r="L65" s="135" t="n"/>
      <c r="M65" s="135" t="n"/>
      <c r="N65" s="135" t="n"/>
      <c r="O65" s="135" t="n"/>
      <c r="P65" s="135" t="n"/>
      <c r="Q65" s="136" t="inlineStr">
        <is>
          <t>直估1.5·AI执行×0.6</t>
        </is>
      </c>
    </row>
    <row r="66">
      <c r="A66" s="135" t="inlineStr">
        <is>
          <t>4.1.3</t>
        </is>
      </c>
      <c r="B66" s="136" t="inlineStr">
        <is>
          <t>SLC文档汇编（F08-01，按功能·初稿随开发滚动AI反生成、定稿见7.1）</t>
        </is>
      </c>
      <c r="C66" s="135" t="n">
        <v>3</v>
      </c>
      <c r="D66" s="136" t="n"/>
      <c r="E66" s="135" t="inlineStr">
        <is>
          <t>Mandy</t>
        </is>
      </c>
      <c r="F66" s="148" t="n">
        <v>46316</v>
      </c>
      <c r="G66" s="148" t="n">
        <v>46317</v>
      </c>
      <c r="H66" s="138" t="n">
        <v>2</v>
      </c>
      <c r="I66" s="139" t="n">
        <v>0.75</v>
      </c>
      <c r="J66" s="136" t="inlineStr">
        <is>
          <t>AI辅助</t>
        </is>
      </c>
      <c r="K66" s="136" t="inlineStr">
        <is>
          <t>4.1.1</t>
        </is>
      </c>
      <c r="L66" s="135" t="n"/>
      <c r="M66" s="135" t="n"/>
      <c r="N66" s="135" t="n"/>
      <c r="O66" s="135" t="n"/>
      <c r="P66" s="135" t="n"/>
      <c r="Q66" s="136" t="inlineStr">
        <is>
          <t>直估1·AI执行×0.75</t>
        </is>
      </c>
    </row>
    <row r="67">
      <c r="A67" s="135" t="inlineStr">
        <is>
          <t>4.1.4</t>
        </is>
      </c>
      <c r="B67" s="136" t="inlineStr">
        <is>
          <t>角色管理界面与API（前端/应用侧）</t>
        </is>
      </c>
      <c r="C67" s="135" t="n">
        <v>3</v>
      </c>
      <c r="D67" s="136" t="n"/>
      <c r="E67" s="135" t="inlineStr">
        <is>
          <t>Wade</t>
        </is>
      </c>
      <c r="F67" s="148" t="n">
        <v>46295</v>
      </c>
      <c r="G67" s="148" t="n">
        <v>46303</v>
      </c>
      <c r="H67" s="138" t="n">
        <v>2</v>
      </c>
      <c r="I67" s="139" t="n">
        <v>0.98</v>
      </c>
      <c r="J67" s="136" t="inlineStr">
        <is>
          <t>AI生成+人工审核</t>
        </is>
      </c>
      <c r="K67" s="136" t="inlineStr">
        <is>
          <t>2.2.2</t>
        </is>
      </c>
      <c r="L67" s="135" t="n"/>
      <c r="M67" s="135" t="n"/>
      <c r="N67" s="135" t="n"/>
      <c r="O67" s="135" t="n"/>
      <c r="P67" s="135" t="n"/>
      <c r="Q67" s="136" t="inlineStr">
        <is>
          <t>直估1.5·AI执行×0.65</t>
        </is>
      </c>
    </row>
    <row r="68">
      <c r="A68" s="135" t="inlineStr">
        <is>
          <t>4.1.5</t>
        </is>
      </c>
      <c r="B68" s="136" t="inlineStr">
        <is>
          <t>权限校验与UC授权映射（前端/应用侧·含服务中间件，DevB瓶颈迁移）</t>
        </is>
      </c>
      <c r="C68" s="135" t="n">
        <v>3</v>
      </c>
      <c r="D68" s="136" t="n"/>
      <c r="E68" s="135" t="inlineStr">
        <is>
          <t>Wade</t>
        </is>
      </c>
      <c r="F68" s="148" t="n">
        <v>46303</v>
      </c>
      <c r="G68" s="148" t="n">
        <v>46304</v>
      </c>
      <c r="H68" s="138" t="n">
        <v>2</v>
      </c>
      <c r="I68" s="139" t="n">
        <v>0.65</v>
      </c>
      <c r="J68" s="136" t="inlineStr">
        <is>
          <t>AI生成+人工审核</t>
        </is>
      </c>
      <c r="K68" s="136" t="inlineStr">
        <is>
          <t>2.2.2</t>
        </is>
      </c>
      <c r="L68" s="135" t="n"/>
      <c r="M68" s="135" t="n"/>
      <c r="N68" s="135" t="n"/>
      <c r="O68" s="135" t="n"/>
      <c r="P68" s="135" t="n"/>
      <c r="Q68" s="136" t="inlineStr">
        <is>
          <t>瓶颈迁移：DevB溢出，移Wade执行；直估1·AI执行×0.65</t>
        </is>
      </c>
    </row>
    <row r="69">
      <c r="A69" s="135" t="inlineStr">
        <is>
          <t>4.1.6</t>
        </is>
      </c>
      <c r="B69" s="136" t="inlineStr">
        <is>
          <t>RBAC模型与权限矩阵（数据/服务侧）</t>
        </is>
      </c>
      <c r="C69" s="135" t="n">
        <v>3</v>
      </c>
      <c r="D69" s="136" t="n"/>
      <c r="E69" s="135" t="inlineStr">
        <is>
          <t>DevB</t>
        </is>
      </c>
      <c r="F69" s="148" t="n">
        <v>46303</v>
      </c>
      <c r="G69" s="148" t="n">
        <v>46303</v>
      </c>
      <c r="H69" s="138" t="n">
        <v>1</v>
      </c>
      <c r="I69" s="139" t="n">
        <v>0.33</v>
      </c>
      <c r="J69" s="136" t="inlineStr">
        <is>
          <t>AI生成+人工审核</t>
        </is>
      </c>
      <c r="K69" s="136" t="inlineStr">
        <is>
          <t>2.2.2</t>
        </is>
      </c>
      <c r="L69" s="135" t="n"/>
      <c r="M69" s="135" t="n"/>
      <c r="N69" s="135" t="n"/>
      <c r="O69" s="135" t="n"/>
      <c r="P69" s="135" t="n"/>
      <c r="Q69" s="136" t="inlineStr">
        <is>
          <t>直估0.5·AI执行×0.65</t>
        </is>
      </c>
    </row>
    <row r="70">
      <c r="A70" s="135" t="inlineStr">
        <is>
          <t>4.1.7</t>
        </is>
      </c>
      <c r="B70" s="136" t="inlineStr">
        <is>
          <t>角色管理界面与API（数据/服务侧）</t>
        </is>
      </c>
      <c r="C70" s="135" t="n">
        <v>3</v>
      </c>
      <c r="D70" s="136" t="n"/>
      <c r="E70" s="135" t="inlineStr">
        <is>
          <t>DevB</t>
        </is>
      </c>
      <c r="F70" s="148" t="n">
        <v>46303</v>
      </c>
      <c r="G70" s="148" t="n">
        <v>46304</v>
      </c>
      <c r="H70" s="138" t="n">
        <v>2</v>
      </c>
      <c r="I70" s="139" t="n">
        <v>0.33</v>
      </c>
      <c r="J70" s="136" t="inlineStr">
        <is>
          <t>AI生成+人工审核</t>
        </is>
      </c>
      <c r="K70" s="136" t="inlineStr">
        <is>
          <t>2.2.2</t>
        </is>
      </c>
      <c r="L70" s="135" t="n"/>
      <c r="M70" s="135" t="n"/>
      <c r="N70" s="135" t="n"/>
      <c r="O70" s="135" t="n"/>
      <c r="P70" s="135" t="n"/>
      <c r="Q70" s="136" t="inlineStr">
        <is>
          <t>直估0.5·AI执行×0.65</t>
        </is>
      </c>
    </row>
    <row r="71">
      <c r="A71" s="125" t="inlineStr">
        <is>
          <t>4.2</t>
        </is>
      </c>
      <c r="B71" s="126" t="inlineStr">
        <is>
          <t>F08-02 F08-02 用户账号管理</t>
        </is>
      </c>
      <c r="C71" s="125" t="n">
        <v>2</v>
      </c>
      <c r="D71" s="126" t="n"/>
      <c r="E71" s="125" t="inlineStr">
        <is>
          <t>DevB/Mandy/Wade</t>
        </is>
      </c>
      <c r="F71" s="146" t="n">
        <v>46304</v>
      </c>
      <c r="G71" s="146" t="n">
        <v>46318</v>
      </c>
      <c r="H71" s="128" t="n">
        <v>11</v>
      </c>
      <c r="I71" s="129">
        <f>ROUND(SUMPRODUCT(($C$72:$C$77=3)*(LEFT($A$72:$A$77,LEN(A71)+1)=A71&amp;".")*$I$72:$I$77),2)</f>
        <v/>
      </c>
      <c r="J71" s="126" t="n"/>
      <c r="K71" s="126" t="n"/>
      <c r="L71" s="125" t="n"/>
      <c r="M71" s="125" t="n"/>
      <c r="N71" s="125" t="n"/>
      <c r="O71" s="125" t="n"/>
      <c r="P71" s="125" t="n"/>
      <c r="Q71" s="126" t="n"/>
    </row>
    <row r="72">
      <c r="A72" s="135" t="inlineStr">
        <is>
          <t>4.2.1</t>
        </is>
      </c>
      <c r="B72" s="136" t="inlineStr">
        <is>
          <t>BA：需求澄清与规则定义（F08-02）</t>
        </is>
      </c>
      <c r="C72" s="135" t="n">
        <v>3</v>
      </c>
      <c r="D72" s="136" t="n"/>
      <c r="E72" s="135" t="inlineStr">
        <is>
          <t>Mandy</t>
        </is>
      </c>
      <c r="F72" s="148" t="n">
        <v>46307</v>
      </c>
      <c r="G72" s="148" t="n">
        <v>46307</v>
      </c>
      <c r="H72" s="138" t="n">
        <v>1</v>
      </c>
      <c r="I72" s="139" t="n">
        <v>0.19</v>
      </c>
      <c r="J72" s="136" t="inlineStr">
        <is>
          <t>AI辅助</t>
        </is>
      </c>
      <c r="K72" s="136" t="inlineStr">
        <is>
          <t>2.2.2</t>
        </is>
      </c>
      <c r="L72" s="135" t="n"/>
      <c r="M72" s="135" t="n"/>
      <c r="N72" s="135" t="n"/>
      <c r="O72" s="135" t="n"/>
      <c r="P72" s="135" t="n"/>
      <c r="Q72" s="136" t="inlineStr">
        <is>
          <t>直估0.25·AI执行×0.75</t>
        </is>
      </c>
    </row>
    <row r="73">
      <c r="A73" s="135" t="inlineStr">
        <is>
          <t>4.2.2</t>
        </is>
      </c>
      <c r="B73" s="136" t="inlineStr">
        <is>
          <t>测试：用例设计与执行（F08-02·测试左移：AI用例随BA澄清先行、随CI构建持续验证）</t>
        </is>
      </c>
      <c r="C73" s="135" t="n">
        <v>3</v>
      </c>
      <c r="D73" s="136" t="n"/>
      <c r="E73" s="135" t="inlineStr">
        <is>
          <t>Mandy</t>
        </is>
      </c>
      <c r="F73" s="148" t="n">
        <v>46317</v>
      </c>
      <c r="G73" s="148" t="n">
        <v>46317</v>
      </c>
      <c r="H73" s="138" t="n">
        <v>1</v>
      </c>
      <c r="I73" s="139" t="n">
        <v>0.45</v>
      </c>
      <c r="J73" s="136" t="inlineStr">
        <is>
          <t>AI生成用例+人工审校执行</t>
        </is>
      </c>
      <c r="K73" s="136" t="inlineStr">
        <is>
          <t>4.2.1</t>
        </is>
      </c>
      <c r="L73" s="135" t="n"/>
      <c r="M73" s="135" t="n"/>
      <c r="N73" s="135" t="n"/>
      <c r="O73" s="135" t="n"/>
      <c r="P73" s="135" t="n"/>
      <c r="Q73" s="136" t="inlineStr">
        <is>
          <t>直估0.75·AI执行×0.6</t>
        </is>
      </c>
    </row>
    <row r="74">
      <c r="A74" s="135" t="inlineStr">
        <is>
          <t>4.2.3</t>
        </is>
      </c>
      <c r="B74" s="136" t="inlineStr">
        <is>
          <t>SLC文档汇编（F08-02，按功能·初稿随开发滚动AI反生成、定稿见7.1）</t>
        </is>
      </c>
      <c r="C74" s="135" t="n">
        <v>3</v>
      </c>
      <c r="D74" s="136" t="n"/>
      <c r="E74" s="135" t="inlineStr">
        <is>
          <t>Mandy</t>
        </is>
      </c>
      <c r="F74" s="148" t="n">
        <v>46317</v>
      </c>
      <c r="G74" s="148" t="n">
        <v>46318</v>
      </c>
      <c r="H74" s="138" t="n">
        <v>2</v>
      </c>
      <c r="I74" s="139" t="n">
        <v>0.38</v>
      </c>
      <c r="J74" s="136" t="inlineStr">
        <is>
          <t>AI辅助</t>
        </is>
      </c>
      <c r="K74" s="136" t="inlineStr">
        <is>
          <t>4.2.1</t>
        </is>
      </c>
      <c r="L74" s="135" t="n"/>
      <c r="M74" s="135" t="n"/>
      <c r="N74" s="135" t="n"/>
      <c r="O74" s="135" t="n"/>
      <c r="P74" s="135" t="n"/>
      <c r="Q74" s="136" t="inlineStr">
        <is>
          <t>直估0.5·AI执行×0.75</t>
        </is>
      </c>
    </row>
    <row r="75">
      <c r="A75" s="135" t="inlineStr">
        <is>
          <t>4.2.4</t>
        </is>
      </c>
      <c r="B75" s="136" t="inlineStr">
        <is>
          <t>账号CRUD与生命周期（前端/应用侧·含服务中间件，DevB瓶颈迁移）</t>
        </is>
      </c>
      <c r="C75" s="135" t="n">
        <v>3</v>
      </c>
      <c r="D75" s="136" t="n"/>
      <c r="E75" s="135" t="inlineStr">
        <is>
          <t>Wade</t>
        </is>
      </c>
      <c r="F75" s="148" t="n">
        <v>46304</v>
      </c>
      <c r="G75" s="148" t="n">
        <v>46307</v>
      </c>
      <c r="H75" s="138" t="n">
        <v>2</v>
      </c>
      <c r="I75" s="139" t="n">
        <v>1.14</v>
      </c>
      <c r="J75" s="136" t="inlineStr">
        <is>
          <t>AI生成+人工审核</t>
        </is>
      </c>
      <c r="K75" s="136" t="inlineStr">
        <is>
          <t>2.2.2</t>
        </is>
      </c>
      <c r="L75" s="135" t="n"/>
      <c r="M75" s="135" t="n"/>
      <c r="N75" s="135" t="n"/>
      <c r="O75" s="135" t="n"/>
      <c r="P75" s="135" t="n"/>
      <c r="Q75" s="136" t="inlineStr">
        <is>
          <t>瓶颈迁移：DevB溢出，移Wade执行；直估1.75·AI执行×0.65</t>
        </is>
      </c>
    </row>
    <row r="76">
      <c r="A76" s="135" t="inlineStr">
        <is>
          <t>4.2.5</t>
        </is>
      </c>
      <c r="B76" s="136" t="inlineStr">
        <is>
          <t>账号与角色绑定（前端/应用侧）</t>
        </is>
      </c>
      <c r="C76" s="135" t="n">
        <v>3</v>
      </c>
      <c r="D76" s="136" t="n"/>
      <c r="E76" s="135" t="inlineStr">
        <is>
          <t>Wade</t>
        </is>
      </c>
      <c r="F76" s="148" t="n">
        <v>46307</v>
      </c>
      <c r="G76" s="148" t="n">
        <v>46307</v>
      </c>
      <c r="H76" s="138" t="n">
        <v>1</v>
      </c>
      <c r="I76" s="139" t="n">
        <v>0.33</v>
      </c>
      <c r="J76" s="136" t="inlineStr">
        <is>
          <t>AI生成+人工审核</t>
        </is>
      </c>
      <c r="K76" s="136" t="inlineStr">
        <is>
          <t>2.2.2</t>
        </is>
      </c>
      <c r="L76" s="135" t="n"/>
      <c r="M76" s="135" t="n"/>
      <c r="N76" s="135" t="n"/>
      <c r="O76" s="135" t="n"/>
      <c r="P76" s="135" t="n"/>
      <c r="Q76" s="136" t="inlineStr">
        <is>
          <t>直估0.5·AI执行×0.65</t>
        </is>
      </c>
    </row>
    <row r="77">
      <c r="A77" s="135" t="inlineStr">
        <is>
          <t>4.2.6</t>
        </is>
      </c>
      <c r="B77" s="136" t="inlineStr">
        <is>
          <t>账号与角色绑定（数据/服务侧）</t>
        </is>
      </c>
      <c r="C77" s="135" t="n">
        <v>3</v>
      </c>
      <c r="D77" s="136" t="n"/>
      <c r="E77" s="135" t="inlineStr">
        <is>
          <t>DevB</t>
        </is>
      </c>
      <c r="F77" s="148" t="n">
        <v>46304</v>
      </c>
      <c r="G77" s="148" t="n">
        <v>46304</v>
      </c>
      <c r="H77" s="138" t="n">
        <v>1</v>
      </c>
      <c r="I77" s="139" t="n">
        <v>0.16</v>
      </c>
      <c r="J77" s="136" t="inlineStr">
        <is>
          <t>AI生成+人工审核</t>
        </is>
      </c>
      <c r="K77" s="136" t="inlineStr">
        <is>
          <t>2.2.2</t>
        </is>
      </c>
      <c r="L77" s="135" t="n"/>
      <c r="M77" s="135" t="n"/>
      <c r="N77" s="135" t="n"/>
      <c r="O77" s="135" t="n"/>
      <c r="P77" s="135" t="n"/>
      <c r="Q77" s="136" t="inlineStr">
        <is>
          <t>直估0.25·AI执行×0.65</t>
        </is>
      </c>
    </row>
    <row r="78">
      <c r="A78" s="125" t="inlineStr">
        <is>
          <t>4.3</t>
        </is>
      </c>
      <c r="B78" s="126" t="inlineStr">
        <is>
          <t>F08-03 F08-03 企业SSO集成</t>
        </is>
      </c>
      <c r="C78" s="125" t="n">
        <v>2</v>
      </c>
      <c r="D78" s="126" t="n"/>
      <c r="E78" s="125" t="inlineStr">
        <is>
          <t>DevB/Mandy/Wade</t>
        </is>
      </c>
      <c r="F78" s="146" t="n">
        <v>46304</v>
      </c>
      <c r="G78" s="146" t="n">
        <v>46321</v>
      </c>
      <c r="H78" s="128" t="n">
        <v>12</v>
      </c>
      <c r="I78" s="129">
        <f>ROUND(SUMPRODUCT(($C$79:$C$86=3)*(LEFT($A$79:$A$86,LEN(A78)+1)=A78&amp;".")*$I$79:$I$86),2)</f>
        <v/>
      </c>
      <c r="J78" s="126" t="n"/>
      <c r="K78" s="126" t="n"/>
      <c r="L78" s="125" t="n"/>
      <c r="M78" s="125" t="n"/>
      <c r="N78" s="125" t="n"/>
      <c r="O78" s="125" t="n"/>
      <c r="P78" s="125" t="n"/>
      <c r="Q78" s="126" t="n"/>
    </row>
    <row r="79">
      <c r="A79" s="135" t="inlineStr">
        <is>
          <t>4.3.1</t>
        </is>
      </c>
      <c r="B79" s="136" t="inlineStr">
        <is>
          <t>BA：需求澄清与规则定义（F08-03）</t>
        </is>
      </c>
      <c r="C79" s="135" t="n">
        <v>3</v>
      </c>
      <c r="D79" s="136" t="n"/>
      <c r="E79" s="135" t="inlineStr">
        <is>
          <t>Mandy</t>
        </is>
      </c>
      <c r="F79" s="148" t="n">
        <v>46307</v>
      </c>
      <c r="G79" s="148" t="n">
        <v>46307</v>
      </c>
      <c r="H79" s="138" t="n">
        <v>1</v>
      </c>
      <c r="I79" s="139" t="n">
        <v>0.19</v>
      </c>
      <c r="J79" s="136" t="inlineStr">
        <is>
          <t>AI辅助</t>
        </is>
      </c>
      <c r="K79" s="136" t="inlineStr">
        <is>
          <t>2.2.2</t>
        </is>
      </c>
      <c r="L79" s="135" t="n"/>
      <c r="M79" s="135" t="n"/>
      <c r="N79" s="135" t="n"/>
      <c r="O79" s="135" t="n"/>
      <c r="P79" s="135" t="n"/>
      <c r="Q79" s="136" t="inlineStr">
        <is>
          <t>直估0.25·AI执行×0.75</t>
        </is>
      </c>
    </row>
    <row r="80">
      <c r="A80" s="135" t="inlineStr">
        <is>
          <t>4.3.2</t>
        </is>
      </c>
      <c r="B80" s="136" t="inlineStr">
        <is>
          <t>测试：用例设计与执行（F08-03·测试左移：AI用例随BA澄清先行、随CI构建持续验证）</t>
        </is>
      </c>
      <c r="C80" s="135" t="n">
        <v>3</v>
      </c>
      <c r="D80" s="136" t="n"/>
      <c r="E80" s="135" t="inlineStr">
        <is>
          <t>Mandy</t>
        </is>
      </c>
      <c r="F80" s="148" t="n">
        <v>46318</v>
      </c>
      <c r="G80" s="148" t="n">
        <v>46321</v>
      </c>
      <c r="H80" s="138" t="n">
        <v>2</v>
      </c>
      <c r="I80" s="139" t="n">
        <v>1.05</v>
      </c>
      <c r="J80" s="136" t="inlineStr">
        <is>
          <t>AI生成用例+人工审校执行</t>
        </is>
      </c>
      <c r="K80" s="136" t="inlineStr">
        <is>
          <t>4.3.1</t>
        </is>
      </c>
      <c r="L80" s="135" t="n"/>
      <c r="M80" s="135" t="n"/>
      <c r="N80" s="135" t="n"/>
      <c r="O80" s="135" t="n"/>
      <c r="P80" s="135" t="n"/>
      <c r="Q80" s="136" t="inlineStr">
        <is>
          <t>直估1.75·AI执行×0.6</t>
        </is>
      </c>
    </row>
    <row r="81">
      <c r="A81" s="135" t="inlineStr">
        <is>
          <t>4.3.3</t>
        </is>
      </c>
      <c r="B81" s="136" t="inlineStr">
        <is>
          <t>SLC文档汇编（F08-03，按功能·初稿随开发滚动AI反生成、定稿见7.1）</t>
        </is>
      </c>
      <c r="C81" s="135" t="n">
        <v>3</v>
      </c>
      <c r="D81" s="136" t="n"/>
      <c r="E81" s="135" t="inlineStr">
        <is>
          <t>Mandy</t>
        </is>
      </c>
      <c r="F81" s="148" t="n">
        <v>46321</v>
      </c>
      <c r="G81" s="148" t="n">
        <v>46321</v>
      </c>
      <c r="H81" s="138" t="n">
        <v>1</v>
      </c>
      <c r="I81" s="139" t="n">
        <v>0.38</v>
      </c>
      <c r="J81" s="136" t="inlineStr">
        <is>
          <t>AI辅助</t>
        </is>
      </c>
      <c r="K81" s="136" t="inlineStr">
        <is>
          <t>4.3.1</t>
        </is>
      </c>
      <c r="L81" s="135" t="n"/>
      <c r="M81" s="135" t="n"/>
      <c r="N81" s="135" t="n"/>
      <c r="O81" s="135" t="n"/>
      <c r="P81" s="135" t="n"/>
      <c r="Q81" s="136" t="inlineStr">
        <is>
          <t>直估0.5·AI执行×0.75</t>
        </is>
      </c>
    </row>
    <row r="82">
      <c r="A82" s="135" t="inlineStr">
        <is>
          <t>4.3.4</t>
        </is>
      </c>
      <c r="B82" s="136" t="inlineStr">
        <is>
          <t>Entra ID对接配置【原生】（前端/应用侧）</t>
        </is>
      </c>
      <c r="C82" s="135" t="n">
        <v>3</v>
      </c>
      <c r="D82" s="136" t="n"/>
      <c r="E82" s="135" t="inlineStr">
        <is>
          <t>Wade</t>
        </is>
      </c>
      <c r="F82" s="148" t="n">
        <v>46307</v>
      </c>
      <c r="G82" s="148" t="n">
        <v>46307</v>
      </c>
      <c r="H82" s="138" t="n">
        <v>1</v>
      </c>
      <c r="I82" s="139" t="n">
        <v>0.33</v>
      </c>
      <c r="J82" s="136" t="inlineStr">
        <is>
          <t>AI生成+人工审核</t>
        </is>
      </c>
      <c r="K82" s="136" t="inlineStr">
        <is>
          <t>2.2.2</t>
        </is>
      </c>
      <c r="L82" s="135" t="n"/>
      <c r="M82" s="135" t="n"/>
      <c r="N82" s="135" t="n"/>
      <c r="O82" s="135" t="n"/>
      <c r="P82" s="135" t="n"/>
      <c r="Q82" s="136" t="inlineStr">
        <is>
          <t>直估0.5·AI执行×0.65</t>
        </is>
      </c>
    </row>
    <row r="83">
      <c r="A83" s="135" t="inlineStr">
        <is>
          <t>4.3.5</t>
        </is>
      </c>
      <c r="B83" s="136" t="inlineStr">
        <is>
          <t>SSO登录链路【中间件】（前端/应用侧）</t>
        </is>
      </c>
      <c r="C83" s="135" t="n">
        <v>3</v>
      </c>
      <c r="D83" s="136" t="n"/>
      <c r="E83" s="135" t="inlineStr">
        <is>
          <t>Wade</t>
        </is>
      </c>
      <c r="F83" s="148" t="n">
        <v>46307</v>
      </c>
      <c r="G83" s="148" t="n">
        <v>46308</v>
      </c>
      <c r="H83" s="138" t="n">
        <v>2</v>
      </c>
      <c r="I83" s="139" t="n">
        <v>0.8100000000000001</v>
      </c>
      <c r="J83" s="136" t="inlineStr">
        <is>
          <t>AI生成+人工审核</t>
        </is>
      </c>
      <c r="K83" s="136" t="inlineStr">
        <is>
          <t>2.2.2</t>
        </is>
      </c>
      <c r="L83" s="135" t="n"/>
      <c r="M83" s="135" t="n"/>
      <c r="N83" s="135" t="n"/>
      <c r="O83" s="135" t="n"/>
      <c r="P83" s="135" t="n"/>
      <c r="Q83" s="136" t="inlineStr">
        <is>
          <t>直估1.25·AI执行×0.65</t>
        </is>
      </c>
    </row>
    <row r="84">
      <c r="A84" s="135" t="inlineStr">
        <is>
          <t>4.3.6</t>
        </is>
      </c>
      <c r="B84" s="136" t="inlineStr">
        <is>
          <t>认证异常场景处理（前端/应用侧）</t>
        </is>
      </c>
      <c r="C84" s="135" t="n">
        <v>3</v>
      </c>
      <c r="D84" s="136" t="n"/>
      <c r="E84" s="135" t="inlineStr">
        <is>
          <t>Wade</t>
        </is>
      </c>
      <c r="F84" s="148" t="n">
        <v>46308</v>
      </c>
      <c r="G84" s="148" t="n">
        <v>46309</v>
      </c>
      <c r="H84" s="138" t="n">
        <v>2</v>
      </c>
      <c r="I84" s="139" t="n">
        <v>0.33</v>
      </c>
      <c r="J84" s="136" t="inlineStr">
        <is>
          <t>AI生成+人工审核</t>
        </is>
      </c>
      <c r="K84" s="136" t="inlineStr">
        <is>
          <t>2.2.2</t>
        </is>
      </c>
      <c r="L84" s="135" t="n"/>
      <c r="M84" s="135" t="n"/>
      <c r="N84" s="135" t="n"/>
      <c r="O84" s="135" t="n"/>
      <c r="P84" s="135" t="n"/>
      <c r="Q84" s="136" t="inlineStr">
        <is>
          <t>直估0.5·AI执行×0.65</t>
        </is>
      </c>
    </row>
    <row r="85">
      <c r="A85" s="135" t="inlineStr">
        <is>
          <t>4.3.7</t>
        </is>
      </c>
      <c r="B85" s="136" t="inlineStr">
        <is>
          <t>Entra ID对接配置【原生】（数据/服务侧）</t>
        </is>
      </c>
      <c r="C85" s="135" t="n">
        <v>3</v>
      </c>
      <c r="D85" s="136" t="n"/>
      <c r="E85" s="135" t="inlineStr">
        <is>
          <t>DevB</t>
        </is>
      </c>
      <c r="F85" s="148" t="n">
        <v>46304</v>
      </c>
      <c r="G85" s="148" t="n">
        <v>46304</v>
      </c>
      <c r="H85" s="138" t="n">
        <v>1</v>
      </c>
      <c r="I85" s="139" t="n">
        <v>0.33</v>
      </c>
      <c r="J85" s="136" t="inlineStr">
        <is>
          <t>AI生成+人工审核</t>
        </is>
      </c>
      <c r="K85" s="136" t="inlineStr">
        <is>
          <t>2.2.2</t>
        </is>
      </c>
      <c r="L85" s="135" t="n"/>
      <c r="M85" s="135" t="n"/>
      <c r="N85" s="135" t="n"/>
      <c r="O85" s="135" t="n"/>
      <c r="P85" s="135" t="n"/>
      <c r="Q85" s="136" t="inlineStr">
        <is>
          <t>直估0.5·AI执行×0.65</t>
        </is>
      </c>
    </row>
    <row r="86">
      <c r="A86" s="135" t="inlineStr">
        <is>
          <t>4.3.8</t>
        </is>
      </c>
      <c r="B86" s="136" t="inlineStr">
        <is>
          <t>SSO登录链路【中间件】（数据/服务侧）</t>
        </is>
      </c>
      <c r="C86" s="135" t="n">
        <v>3</v>
      </c>
      <c r="D86" s="136" t="n"/>
      <c r="E86" s="135" t="inlineStr">
        <is>
          <t>DevB</t>
        </is>
      </c>
      <c r="F86" s="148" t="n">
        <v>46304</v>
      </c>
      <c r="G86" s="148" t="n">
        <v>46304</v>
      </c>
      <c r="H86" s="138" t="n">
        <v>1</v>
      </c>
      <c r="I86" s="139" t="n">
        <v>0.33</v>
      </c>
      <c r="J86" s="136" t="inlineStr">
        <is>
          <t>AI生成+人工审核</t>
        </is>
      </c>
      <c r="K86" s="136" t="inlineStr">
        <is>
          <t>2.2.2</t>
        </is>
      </c>
      <c r="L86" s="135" t="n"/>
      <c r="M86" s="135" t="n"/>
      <c r="N86" s="135" t="n"/>
      <c r="O86" s="135" t="n"/>
      <c r="P86" s="135" t="n"/>
      <c r="Q86" s="136" t="inlineStr">
        <is>
          <t>直估0.5·AI执行×0.65</t>
        </is>
      </c>
    </row>
    <row r="87">
      <c r="A87" s="125" t="inlineStr">
        <is>
          <t>4.4</t>
        </is>
      </c>
      <c r="B87" s="126" t="inlineStr">
        <is>
          <t>F08-04 F08-04 用户身份自动识别与关联</t>
        </is>
      </c>
      <c r="C87" s="125" t="n">
        <v>2</v>
      </c>
      <c r="D87" s="126" t="n"/>
      <c r="E87" s="125" t="inlineStr">
        <is>
          <t>DevB/Mandy/Wade</t>
        </is>
      </c>
      <c r="F87" s="146" t="n">
        <v>46304</v>
      </c>
      <c r="G87" s="146" t="n">
        <v>46322</v>
      </c>
      <c r="H87" s="128" t="n">
        <v>13</v>
      </c>
      <c r="I87" s="129">
        <f>ROUND(SUMPRODUCT(($C$88:$C$93=3)*(LEFT($A$88:$A$93,LEN(A87)+1)=A87&amp;".")*$I$88:$I$93),2)</f>
        <v/>
      </c>
      <c r="J87" s="126" t="n"/>
      <c r="K87" s="126" t="n"/>
      <c r="L87" s="125" t="n"/>
      <c r="M87" s="125" t="n"/>
      <c r="N87" s="125" t="n"/>
      <c r="O87" s="125" t="n"/>
      <c r="P87" s="125" t="n"/>
      <c r="Q87" s="126" t="n"/>
    </row>
    <row r="88">
      <c r="A88" s="135" t="inlineStr">
        <is>
          <t>4.4.1</t>
        </is>
      </c>
      <c r="B88" s="136" t="inlineStr">
        <is>
          <t>BA：需求澄清与规则定义（F08-04）</t>
        </is>
      </c>
      <c r="C88" s="135" t="n">
        <v>3</v>
      </c>
      <c r="D88" s="136" t="n"/>
      <c r="E88" s="135" t="inlineStr">
        <is>
          <t>Mandy</t>
        </is>
      </c>
      <c r="F88" s="148" t="n">
        <v>46307</v>
      </c>
      <c r="G88" s="148" t="n">
        <v>46308</v>
      </c>
      <c r="H88" s="138" t="n">
        <v>2</v>
      </c>
      <c r="I88" s="139" t="n">
        <v>0.38</v>
      </c>
      <c r="J88" s="136" t="inlineStr">
        <is>
          <t>AI辅助</t>
        </is>
      </c>
      <c r="K88" s="136" t="inlineStr">
        <is>
          <t>2.2.2</t>
        </is>
      </c>
      <c r="L88" s="135" t="n"/>
      <c r="M88" s="135" t="n"/>
      <c r="N88" s="135" t="n"/>
      <c r="O88" s="135" t="n"/>
      <c r="P88" s="135" t="n"/>
      <c r="Q88" s="136" t="inlineStr">
        <is>
          <t>直估0.5·AI执行×0.75</t>
        </is>
      </c>
    </row>
    <row r="89">
      <c r="A89" s="135" t="inlineStr">
        <is>
          <t>4.4.2</t>
        </is>
      </c>
      <c r="B89" s="136" t="inlineStr">
        <is>
          <t>测试：用例设计与执行（F08-04·测试左移：AI用例随BA澄清先行、随CI构建持续验证）</t>
        </is>
      </c>
      <c r="C89" s="135" t="n">
        <v>3</v>
      </c>
      <c r="D89" s="136" t="n"/>
      <c r="E89" s="135" t="inlineStr">
        <is>
          <t>Mandy</t>
        </is>
      </c>
      <c r="F89" s="148" t="n">
        <v>46321</v>
      </c>
      <c r="G89" s="148" t="n">
        <v>46322</v>
      </c>
      <c r="H89" s="138" t="n">
        <v>2</v>
      </c>
      <c r="I89" s="139" t="n">
        <v>0.45</v>
      </c>
      <c r="J89" s="136" t="inlineStr">
        <is>
          <t>AI生成用例+人工审校执行</t>
        </is>
      </c>
      <c r="K89" s="136" t="inlineStr">
        <is>
          <t>4.4.1</t>
        </is>
      </c>
      <c r="L89" s="135" t="n"/>
      <c r="M89" s="135" t="n"/>
      <c r="N89" s="135" t="n"/>
      <c r="O89" s="135" t="n"/>
      <c r="P89" s="135" t="n"/>
      <c r="Q89" s="136" t="inlineStr">
        <is>
          <t>直估0.75·AI执行×0.6</t>
        </is>
      </c>
    </row>
    <row r="90">
      <c r="A90" s="135" t="inlineStr">
        <is>
          <t>4.4.3</t>
        </is>
      </c>
      <c r="B90" s="136" t="inlineStr">
        <is>
          <t>SLC文档汇编（F08-04，按功能·初稿随开发滚动AI反生成、定稿见7.1）</t>
        </is>
      </c>
      <c r="C90" s="135" t="n">
        <v>3</v>
      </c>
      <c r="D90" s="136" t="n"/>
      <c r="E90" s="135" t="inlineStr">
        <is>
          <t>Mandy</t>
        </is>
      </c>
      <c r="F90" s="148" t="n">
        <v>46322</v>
      </c>
      <c r="G90" s="148" t="n">
        <v>46322</v>
      </c>
      <c r="H90" s="138" t="n">
        <v>1</v>
      </c>
      <c r="I90" s="139" t="n">
        <v>0.19</v>
      </c>
      <c r="J90" s="136" t="inlineStr">
        <is>
          <t>AI辅助</t>
        </is>
      </c>
      <c r="K90" s="136" t="inlineStr">
        <is>
          <t>4.4.1</t>
        </is>
      </c>
      <c r="L90" s="135" t="n"/>
      <c r="M90" s="135" t="n"/>
      <c r="N90" s="135" t="n"/>
      <c r="O90" s="135" t="n"/>
      <c r="P90" s="135" t="n"/>
      <c r="Q90" s="136" t="inlineStr">
        <is>
          <t>直估0.25·AI执行×0.75</t>
        </is>
      </c>
    </row>
    <row r="91">
      <c r="A91" s="135" t="inlineStr">
        <is>
          <t>4.4.4</t>
        </is>
      </c>
      <c r="B91" s="136" t="inlineStr">
        <is>
          <t>首登自动关联与角色赋予（前端/应用侧）</t>
        </is>
      </c>
      <c r="C91" s="135" t="n">
        <v>3</v>
      </c>
      <c r="D91" s="136" t="n"/>
      <c r="E91" s="135" t="inlineStr">
        <is>
          <t>Wade</t>
        </is>
      </c>
      <c r="F91" s="148" t="n">
        <v>46309</v>
      </c>
      <c r="G91" s="148" t="n">
        <v>46309</v>
      </c>
      <c r="H91" s="138" t="n">
        <v>1</v>
      </c>
      <c r="I91" s="139" t="n">
        <v>0.16</v>
      </c>
      <c r="J91" s="136" t="inlineStr">
        <is>
          <t>AI生成+人工审核</t>
        </is>
      </c>
      <c r="K91" s="136" t="inlineStr">
        <is>
          <t>2.2.2</t>
        </is>
      </c>
      <c r="L91" s="135" t="n"/>
      <c r="M91" s="135" t="n"/>
      <c r="N91" s="135" t="n"/>
      <c r="O91" s="135" t="n"/>
      <c r="P91" s="135" t="n"/>
      <c r="Q91" s="136" t="inlineStr">
        <is>
          <t>直估0.25·AI执行×0.65</t>
        </is>
      </c>
    </row>
    <row r="92">
      <c r="A92" s="135" t="inlineStr">
        <is>
          <t>4.4.5</t>
        </is>
      </c>
      <c r="B92" s="136" t="inlineStr">
        <is>
          <t>身份映射规则（数据/服务侧）</t>
        </is>
      </c>
      <c r="C92" s="135" t="n">
        <v>3</v>
      </c>
      <c r="D92" s="136" t="n"/>
      <c r="E92" s="135" t="inlineStr">
        <is>
          <t>DevB</t>
        </is>
      </c>
      <c r="F92" s="148" t="n">
        <v>46304</v>
      </c>
      <c r="G92" s="148" t="n">
        <v>46307</v>
      </c>
      <c r="H92" s="138" t="n">
        <v>2</v>
      </c>
      <c r="I92" s="139" t="n">
        <v>0.33</v>
      </c>
      <c r="J92" s="136" t="inlineStr">
        <is>
          <t>AI生成+人工审核</t>
        </is>
      </c>
      <c r="K92" s="136" t="inlineStr">
        <is>
          <t>2.2.2</t>
        </is>
      </c>
      <c r="L92" s="135" t="n"/>
      <c r="M92" s="135" t="n"/>
      <c r="N92" s="135" t="n"/>
      <c r="O92" s="135" t="n"/>
      <c r="P92" s="135" t="n"/>
      <c r="Q92" s="136" t="inlineStr">
        <is>
          <t>直估0.5·AI执行×0.65</t>
        </is>
      </c>
    </row>
    <row r="93">
      <c r="A93" s="135" t="inlineStr">
        <is>
          <t>4.4.6</t>
        </is>
      </c>
      <c r="B93" s="136" t="inlineStr">
        <is>
          <t>首登自动关联与角色赋予（数据/服务侧）</t>
        </is>
      </c>
      <c r="C93" s="135" t="n">
        <v>3</v>
      </c>
      <c r="D93" s="136" t="n"/>
      <c r="E93" s="135" t="inlineStr">
        <is>
          <t>DevB</t>
        </is>
      </c>
      <c r="F93" s="148" t="n">
        <v>46307</v>
      </c>
      <c r="G93" s="148" t="n">
        <v>46307</v>
      </c>
      <c r="H93" s="138" t="n">
        <v>1</v>
      </c>
      <c r="I93" s="139" t="n">
        <v>0.49</v>
      </c>
      <c r="J93" s="136" t="inlineStr">
        <is>
          <t>AI生成+人工审核</t>
        </is>
      </c>
      <c r="K93" s="136" t="inlineStr">
        <is>
          <t>2.2.2</t>
        </is>
      </c>
      <c r="L93" s="135" t="n"/>
      <c r="M93" s="135" t="n"/>
      <c r="N93" s="135" t="n"/>
      <c r="O93" s="135" t="n"/>
      <c r="P93" s="135" t="n"/>
      <c r="Q93" s="136" t="inlineStr">
        <is>
          <t>直估0.75·AI执行×0.65</t>
        </is>
      </c>
    </row>
    <row r="94">
      <c r="A94" s="125" t="inlineStr">
        <is>
          <t>4.5</t>
        </is>
      </c>
      <c r="B94" s="126" t="inlineStr">
        <is>
          <t>F08-05 F08-05 登录状态与异常访问控制</t>
        </is>
      </c>
      <c r="C94" s="125" t="n">
        <v>2</v>
      </c>
      <c r="D94" s="126" t="n"/>
      <c r="E94" s="125" t="inlineStr">
        <is>
          <t>DevB/Mandy/Wade</t>
        </is>
      </c>
      <c r="F94" s="146" t="n">
        <v>46307</v>
      </c>
      <c r="G94" s="146" t="n">
        <v>46323</v>
      </c>
      <c r="H94" s="128" t="n">
        <v>13</v>
      </c>
      <c r="I94" s="129">
        <f>ROUND(SUMPRODUCT(($C$95:$C$100=3)*(LEFT($A$95:$A$100,LEN(A94)+1)=A94&amp;".")*$I$95:$I$100),2)</f>
        <v/>
      </c>
      <c r="J94" s="126" t="n"/>
      <c r="K94" s="126" t="n"/>
      <c r="L94" s="125" t="n"/>
      <c r="M94" s="125" t="n"/>
      <c r="N94" s="125" t="n"/>
      <c r="O94" s="125" t="n"/>
      <c r="P94" s="125" t="n"/>
      <c r="Q94" s="126" t="n"/>
    </row>
    <row r="95">
      <c r="A95" s="135" t="inlineStr">
        <is>
          <t>4.5.1</t>
        </is>
      </c>
      <c r="B95" s="136" t="inlineStr">
        <is>
          <t>BA：需求澄清与规则定义（F08-05）</t>
        </is>
      </c>
      <c r="C95" s="135" t="n">
        <v>3</v>
      </c>
      <c r="D95" s="136" t="n"/>
      <c r="E95" s="135" t="inlineStr">
        <is>
          <t>Mandy</t>
        </is>
      </c>
      <c r="F95" s="148" t="n">
        <v>46308</v>
      </c>
      <c r="G95" s="148" t="n">
        <v>46308</v>
      </c>
      <c r="H95" s="138" t="n">
        <v>1</v>
      </c>
      <c r="I95" s="139" t="n">
        <v>0.19</v>
      </c>
      <c r="J95" s="136" t="inlineStr">
        <is>
          <t>AI辅助</t>
        </is>
      </c>
      <c r="K95" s="136" t="inlineStr">
        <is>
          <t>2.2.2</t>
        </is>
      </c>
      <c r="L95" s="135" t="n"/>
      <c r="M95" s="135" t="n"/>
      <c r="N95" s="135" t="n"/>
      <c r="O95" s="135" t="n"/>
      <c r="P95" s="135" t="n"/>
      <c r="Q95" s="136" t="inlineStr">
        <is>
          <t>直估0.25·AI执行×0.75</t>
        </is>
      </c>
    </row>
    <row r="96">
      <c r="A96" s="135" t="inlineStr">
        <is>
          <t>4.5.2</t>
        </is>
      </c>
      <c r="B96" s="136" t="inlineStr">
        <is>
          <t>测试：用例设计与执行（F08-05·测试左移：AI用例随BA澄清先行、随CI构建持续验证）</t>
        </is>
      </c>
      <c r="C96" s="135" t="n">
        <v>3</v>
      </c>
      <c r="D96" s="136" t="n"/>
      <c r="E96" s="135" t="inlineStr">
        <is>
          <t>Mandy</t>
        </is>
      </c>
      <c r="F96" s="148" t="n">
        <v>46322</v>
      </c>
      <c r="G96" s="148" t="n">
        <v>46322</v>
      </c>
      <c r="H96" s="138" t="n">
        <v>1</v>
      </c>
      <c r="I96" s="139" t="n">
        <v>0.6</v>
      </c>
      <c r="J96" s="136" t="inlineStr">
        <is>
          <t>AI生成用例+人工审校执行</t>
        </is>
      </c>
      <c r="K96" s="136" t="inlineStr">
        <is>
          <t>4.5.1</t>
        </is>
      </c>
      <c r="L96" s="135" t="n"/>
      <c r="M96" s="135" t="n"/>
      <c r="N96" s="135" t="n"/>
      <c r="O96" s="135" t="n"/>
      <c r="P96" s="135" t="n"/>
      <c r="Q96" s="136" t="inlineStr">
        <is>
          <t>直估1·AI执行×0.6</t>
        </is>
      </c>
    </row>
    <row r="97">
      <c r="A97" s="135" t="inlineStr">
        <is>
          <t>4.5.3</t>
        </is>
      </c>
      <c r="B97" s="136" t="inlineStr">
        <is>
          <t>SLC文档汇编（F08-05，按功能·初稿随开发滚动AI反生成、定稿见7.1）</t>
        </is>
      </c>
      <c r="C97" s="135" t="n">
        <v>3</v>
      </c>
      <c r="D97" s="136" t="n"/>
      <c r="E97" s="135" t="inlineStr">
        <is>
          <t>Mandy</t>
        </is>
      </c>
      <c r="F97" s="148" t="n">
        <v>46322</v>
      </c>
      <c r="G97" s="148" t="n">
        <v>46323</v>
      </c>
      <c r="H97" s="138" t="n">
        <v>2</v>
      </c>
      <c r="I97" s="139" t="n">
        <v>0.19</v>
      </c>
      <c r="J97" s="136" t="inlineStr">
        <is>
          <t>AI辅助</t>
        </is>
      </c>
      <c r="K97" s="136" t="inlineStr">
        <is>
          <t>4.5.1</t>
        </is>
      </c>
      <c r="L97" s="135" t="n"/>
      <c r="M97" s="135" t="n"/>
      <c r="N97" s="135" t="n"/>
      <c r="O97" s="135" t="n"/>
      <c r="P97" s="135" t="n"/>
      <c r="Q97" s="136" t="inlineStr">
        <is>
          <t>直估0.25·AI执行×0.75</t>
        </is>
      </c>
    </row>
    <row r="98">
      <c r="A98" s="135" t="inlineStr">
        <is>
          <t>4.5.4</t>
        </is>
      </c>
      <c r="B98" s="136" t="inlineStr">
        <is>
          <t>会话与超时策略（前端/应用侧）</t>
        </is>
      </c>
      <c r="C98" s="135" t="n">
        <v>3</v>
      </c>
      <c r="D98" s="136" t="n"/>
      <c r="E98" s="135" t="inlineStr">
        <is>
          <t>Wade</t>
        </is>
      </c>
      <c r="F98" s="148" t="n">
        <v>46309</v>
      </c>
      <c r="G98" s="148" t="n">
        <v>46309</v>
      </c>
      <c r="H98" s="138" t="n">
        <v>1</v>
      </c>
      <c r="I98" s="139" t="n">
        <v>0.65</v>
      </c>
      <c r="J98" s="136" t="inlineStr">
        <is>
          <t>AI生成+人工审核</t>
        </is>
      </c>
      <c r="K98" s="136" t="inlineStr">
        <is>
          <t>2.2.2</t>
        </is>
      </c>
      <c r="L98" s="135" t="n"/>
      <c r="M98" s="135" t="n"/>
      <c r="N98" s="135" t="n"/>
      <c r="O98" s="135" t="n"/>
      <c r="P98" s="135" t="n"/>
      <c r="Q98" s="136" t="inlineStr">
        <is>
          <t>直估1·AI执行×0.65</t>
        </is>
      </c>
    </row>
    <row r="99">
      <c r="A99" s="135" t="inlineStr">
        <is>
          <t>4.5.5</t>
        </is>
      </c>
      <c r="B99" s="136" t="inlineStr">
        <is>
          <t>会话与超时策略（数据/服务侧）</t>
        </is>
      </c>
      <c r="C99" s="135" t="n">
        <v>3</v>
      </c>
      <c r="D99" s="136" t="n"/>
      <c r="E99" s="135" t="inlineStr">
        <is>
          <t>DevB</t>
        </is>
      </c>
      <c r="F99" s="148" t="n">
        <v>46307</v>
      </c>
      <c r="G99" s="148" t="n">
        <v>46307</v>
      </c>
      <c r="H99" s="138" t="n">
        <v>1</v>
      </c>
      <c r="I99" s="139" t="n">
        <v>0.16</v>
      </c>
      <c r="J99" s="136" t="inlineStr">
        <is>
          <t>AI生成+人工审核</t>
        </is>
      </c>
      <c r="K99" s="136" t="inlineStr">
        <is>
          <t>2.2.2</t>
        </is>
      </c>
      <c r="L99" s="135" t="n"/>
      <c r="M99" s="135" t="n"/>
      <c r="N99" s="135" t="n"/>
      <c r="O99" s="135" t="n"/>
      <c r="P99" s="135" t="n"/>
      <c r="Q99" s="136" t="inlineStr">
        <is>
          <t>直估0.25·AI执行×0.65</t>
        </is>
      </c>
    </row>
    <row r="100">
      <c r="A100" s="135" t="inlineStr">
        <is>
          <t>4.5.6</t>
        </is>
      </c>
      <c r="B100" s="136" t="inlineStr">
        <is>
          <t>异常访问控制（数据/服务侧）</t>
        </is>
      </c>
      <c r="C100" s="135" t="n">
        <v>3</v>
      </c>
      <c r="D100" s="136" t="n"/>
      <c r="E100" s="135" t="inlineStr">
        <is>
          <t>DevB</t>
        </is>
      </c>
      <c r="F100" s="148" t="n">
        <v>46307</v>
      </c>
      <c r="G100" s="148" t="n">
        <v>46308</v>
      </c>
      <c r="H100" s="138" t="n">
        <v>2</v>
      </c>
      <c r="I100" s="139" t="n">
        <v>0.49</v>
      </c>
      <c r="J100" s="136" t="inlineStr">
        <is>
          <t>AI生成+人工审核</t>
        </is>
      </c>
      <c r="K100" s="136" t="inlineStr">
        <is>
          <t>2.2.2</t>
        </is>
      </c>
      <c r="L100" s="135" t="n"/>
      <c r="M100" s="135" t="n"/>
      <c r="N100" s="135" t="n"/>
      <c r="O100" s="135" t="n"/>
      <c r="P100" s="135" t="n"/>
      <c r="Q100" s="136" t="inlineStr">
        <is>
          <t>直估0.75·AI执行×0.65</t>
        </is>
      </c>
    </row>
    <row r="101">
      <c r="A101" s="125" t="inlineStr">
        <is>
          <t>4.6</t>
        </is>
      </c>
      <c r="B101" s="126" t="inlineStr">
        <is>
          <t>F01-01 F01-01 结构化历史数据批量导入</t>
        </is>
      </c>
      <c r="C101" s="125" t="n">
        <v>2</v>
      </c>
      <c r="D101" s="126" t="n"/>
      <c r="E101" s="125" t="inlineStr">
        <is>
          <t>DevB/Mandy/Wade</t>
        </is>
      </c>
      <c r="F101" s="146" t="n">
        <v>46308</v>
      </c>
      <c r="G101" s="146" t="n">
        <v>46328</v>
      </c>
      <c r="H101" s="128" t="n">
        <v>15</v>
      </c>
      <c r="I101" s="129">
        <f>ROUND(SUMPRODUCT(($C$102:$C$117=3)*(LEFT($A$102:$A$117,LEN(A101)+1)=A101&amp;".")*$I$102:$I$117),2)</f>
        <v/>
      </c>
      <c r="J101" s="126" t="n"/>
      <c r="K101" s="126" t="n"/>
      <c r="L101" s="125" t="n"/>
      <c r="M101" s="125" t="n"/>
      <c r="N101" s="125" t="n"/>
      <c r="O101" s="125" t="n"/>
      <c r="P101" s="125" t="n"/>
      <c r="Q101" s="126" t="n"/>
    </row>
    <row r="102">
      <c r="A102" s="135" t="inlineStr">
        <is>
          <t>4.6.1</t>
        </is>
      </c>
      <c r="B102" s="136" t="inlineStr">
        <is>
          <t>BA：需求澄清与规则定义（F01-01）</t>
        </is>
      </c>
      <c r="C102" s="135" t="n">
        <v>3</v>
      </c>
      <c r="D102" s="136" t="n"/>
      <c r="E102" s="135" t="inlineStr">
        <is>
          <t>Mandy</t>
        </is>
      </c>
      <c r="F102" s="148" t="n">
        <v>46308</v>
      </c>
      <c r="G102" s="148" t="n">
        <v>46309</v>
      </c>
      <c r="H102" s="138" t="n">
        <v>2</v>
      </c>
      <c r="I102" s="139" t="n">
        <v>1.31</v>
      </c>
      <c r="J102" s="136" t="inlineStr">
        <is>
          <t>AI辅助</t>
        </is>
      </c>
      <c r="K102" s="136" t="inlineStr">
        <is>
          <t>2.2.2</t>
        </is>
      </c>
      <c r="L102" s="135" t="n"/>
      <c r="M102" s="135" t="n"/>
      <c r="N102" s="135" t="n"/>
      <c r="O102" s="135" t="n"/>
      <c r="P102" s="135" t="n"/>
      <c r="Q102" s="136" t="inlineStr">
        <is>
          <t>直估1.75·AI执行×0.75</t>
        </is>
      </c>
    </row>
    <row r="103">
      <c r="A103" s="135" t="inlineStr">
        <is>
          <t>4.6.2</t>
        </is>
      </c>
      <c r="B103" s="136" t="inlineStr">
        <is>
          <t>测试：用例设计与执行（F01-01·测试左移：AI用例随BA澄清先行、随CI构建持续验证）</t>
        </is>
      </c>
      <c r="C103" s="135" t="n">
        <v>3</v>
      </c>
      <c r="D103" s="136" t="n"/>
      <c r="E103" s="135" t="inlineStr">
        <is>
          <t>Mandy</t>
        </is>
      </c>
      <c r="F103" s="148" t="n">
        <v>46323</v>
      </c>
      <c r="G103" s="148" t="n">
        <v>46325</v>
      </c>
      <c r="H103" s="138" t="n">
        <v>3</v>
      </c>
      <c r="I103" s="139" t="n">
        <v>2.25</v>
      </c>
      <c r="J103" s="136" t="inlineStr">
        <is>
          <t>AI生成用例+人工审校执行</t>
        </is>
      </c>
      <c r="K103" s="136" t="inlineStr">
        <is>
          <t>4.6.1</t>
        </is>
      </c>
      <c r="L103" s="135" t="n"/>
      <c r="M103" s="135" t="n"/>
      <c r="N103" s="135" t="n"/>
      <c r="O103" s="135" t="n"/>
      <c r="P103" s="135" t="n"/>
      <c r="Q103" s="136" t="inlineStr">
        <is>
          <t>直估3.75·AI执行×0.6</t>
        </is>
      </c>
    </row>
    <row r="104">
      <c r="A104" s="135" t="inlineStr">
        <is>
          <t>4.6.3</t>
        </is>
      </c>
      <c r="B104" s="136" t="inlineStr">
        <is>
          <t>SLC文档汇编（F01-01，按功能·初稿随开发滚动AI反生成、定稿见7.1）</t>
        </is>
      </c>
      <c r="C104" s="135" t="n">
        <v>3</v>
      </c>
      <c r="D104" s="136" t="n"/>
      <c r="E104" s="135" t="inlineStr">
        <is>
          <t>Mandy</t>
        </is>
      </c>
      <c r="F104" s="148" t="n">
        <v>46325</v>
      </c>
      <c r="G104" s="148" t="n">
        <v>46328</v>
      </c>
      <c r="H104" s="138" t="n">
        <v>2</v>
      </c>
      <c r="I104" s="139" t="n">
        <v>0.75</v>
      </c>
      <c r="J104" s="136" t="inlineStr">
        <is>
          <t>AI辅助</t>
        </is>
      </c>
      <c r="K104" s="136" t="inlineStr">
        <is>
          <t>4.6.1</t>
        </is>
      </c>
      <c r="L104" s="135" t="n"/>
      <c r="M104" s="135" t="n"/>
      <c r="N104" s="135" t="n"/>
      <c r="O104" s="135" t="n"/>
      <c r="P104" s="135" t="n"/>
      <c r="Q104" s="136" t="inlineStr">
        <is>
          <t>直估1·AI执行×0.75</t>
        </is>
      </c>
    </row>
    <row r="105">
      <c r="A105" s="135" t="inlineStr">
        <is>
          <t>4.6.4</t>
        </is>
      </c>
      <c r="B105" s="136" t="inlineStr">
        <is>
          <t>原系统基本信息录入（前端/应用侧）</t>
        </is>
      </c>
      <c r="C105" s="135" t="n">
        <v>3</v>
      </c>
      <c r="D105" s="136" t="n"/>
      <c r="E105" s="135" t="inlineStr">
        <is>
          <t>Wade</t>
        </is>
      </c>
      <c r="F105" s="148" t="n">
        <v>46309</v>
      </c>
      <c r="G105" s="148" t="n">
        <v>46310</v>
      </c>
      <c r="H105" s="138" t="n">
        <v>2</v>
      </c>
      <c r="I105" s="139" t="n">
        <v>0.65</v>
      </c>
      <c r="J105" s="136" t="inlineStr">
        <is>
          <t>AI生成+人工审核</t>
        </is>
      </c>
      <c r="K105" s="136" t="inlineStr">
        <is>
          <t>2.2.2</t>
        </is>
      </c>
      <c r="L105" s="135" t="n"/>
      <c r="M105" s="135" t="n"/>
      <c r="N105" s="135" t="n"/>
      <c r="O105" s="135" t="n"/>
      <c r="P105" s="135" t="n"/>
      <c r="Q105" s="136" t="inlineStr">
        <is>
          <t>直估1·AI执行×0.65</t>
        </is>
      </c>
    </row>
    <row r="106">
      <c r="A106" s="135" t="inlineStr">
        <is>
          <t>4.6.5</t>
        </is>
      </c>
      <c r="B106" s="136" t="inlineStr">
        <is>
          <t>源库DB连接配置（前端/应用侧）</t>
        </is>
      </c>
      <c r="C106" s="135" t="n">
        <v>3</v>
      </c>
      <c r="D106" s="136" t="n"/>
      <c r="E106" s="135" t="inlineStr">
        <is>
          <t>Wade</t>
        </is>
      </c>
      <c r="F106" s="148" t="n">
        <v>46310</v>
      </c>
      <c r="G106" s="148" t="n">
        <v>46311</v>
      </c>
      <c r="H106" s="138" t="n">
        <v>2</v>
      </c>
      <c r="I106" s="139" t="n">
        <v>0.98</v>
      </c>
      <c r="J106" s="136" t="inlineStr">
        <is>
          <t>AI生成+人工审核</t>
        </is>
      </c>
      <c r="K106" s="136" t="inlineStr">
        <is>
          <t>2.2.2</t>
        </is>
      </c>
      <c r="L106" s="135" t="n"/>
      <c r="M106" s="135" t="n"/>
      <c r="N106" s="135" t="n"/>
      <c r="O106" s="135" t="n"/>
      <c r="P106" s="135" t="n"/>
      <c r="Q106" s="136" t="inlineStr">
        <is>
          <t>直估1.5·AI执行×0.65</t>
        </is>
      </c>
    </row>
    <row r="107">
      <c r="A107" s="135" t="inlineStr">
        <is>
          <t>4.6.6</t>
        </is>
      </c>
      <c r="B107" s="136" t="inlineStr">
        <is>
          <t>同步表勾选（前端/应用侧）</t>
        </is>
      </c>
      <c r="C107" s="135" t="n">
        <v>3</v>
      </c>
      <c r="D107" s="136" t="n"/>
      <c r="E107" s="135" t="inlineStr">
        <is>
          <t>Wade</t>
        </is>
      </c>
      <c r="F107" s="148" t="n">
        <v>46311</v>
      </c>
      <c r="G107" s="148" t="n">
        <v>46314</v>
      </c>
      <c r="H107" s="138" t="n">
        <v>2</v>
      </c>
      <c r="I107" s="139" t="n">
        <v>0.98</v>
      </c>
      <c r="J107" s="136" t="inlineStr">
        <is>
          <t>AI生成+人工审核</t>
        </is>
      </c>
      <c r="K107" s="136" t="inlineStr">
        <is>
          <t>2.2.2</t>
        </is>
      </c>
      <c r="L107" s="135" t="n"/>
      <c r="M107" s="135" t="n"/>
      <c r="N107" s="135" t="n"/>
      <c r="O107" s="135" t="n"/>
      <c r="P107" s="135" t="n"/>
      <c r="Q107" s="136" t="inlineStr">
        <is>
          <t>直估1.5·AI执行×0.65</t>
        </is>
      </c>
    </row>
    <row r="108">
      <c r="A108" s="135" t="inlineStr">
        <is>
          <t>4.6.7</t>
        </is>
      </c>
      <c r="B108" s="136" t="inlineStr">
        <is>
          <t>保留期限与迁移参数配置（前端/应用侧）</t>
        </is>
      </c>
      <c r="C108" s="135" t="n">
        <v>3</v>
      </c>
      <c r="D108" s="136" t="n"/>
      <c r="E108" s="135" t="inlineStr">
        <is>
          <t>Wade</t>
        </is>
      </c>
      <c r="F108" s="148" t="n">
        <v>46314</v>
      </c>
      <c r="G108" s="148" t="n">
        <v>46315</v>
      </c>
      <c r="H108" s="138" t="n">
        <v>2</v>
      </c>
      <c r="I108" s="139" t="n">
        <v>0.65</v>
      </c>
      <c r="J108" s="136" t="inlineStr">
        <is>
          <t>AI生成+人工审核</t>
        </is>
      </c>
      <c r="K108" s="136" t="inlineStr">
        <is>
          <t>2.2.2</t>
        </is>
      </c>
      <c r="L108" s="135" t="n"/>
      <c r="M108" s="135" t="n"/>
      <c r="N108" s="135" t="n"/>
      <c r="O108" s="135" t="n"/>
      <c r="P108" s="135" t="n"/>
      <c r="Q108" s="136" t="inlineStr">
        <is>
          <t>直估1·AI执行×0.65</t>
        </is>
      </c>
    </row>
    <row r="109">
      <c r="A109" s="135" t="inlineStr">
        <is>
          <t>4.6.8</t>
        </is>
      </c>
      <c r="B109" s="136" t="inlineStr">
        <is>
          <t>SeaTunnel批量导入作业（前端/应用侧）</t>
        </is>
      </c>
      <c r="C109" s="135" t="n">
        <v>3</v>
      </c>
      <c r="D109" s="136" t="n"/>
      <c r="E109" s="135" t="inlineStr">
        <is>
          <t>Wade</t>
        </is>
      </c>
      <c r="F109" s="148" t="n">
        <v>46315</v>
      </c>
      <c r="G109" s="148" t="n">
        <v>46315</v>
      </c>
      <c r="H109" s="138" t="n">
        <v>1</v>
      </c>
      <c r="I109" s="139" t="n">
        <v>0.33</v>
      </c>
      <c r="J109" s="136" t="inlineStr">
        <is>
          <t>AI生成+人工审核</t>
        </is>
      </c>
      <c r="K109" s="136" t="inlineStr">
        <is>
          <t>2.2.2</t>
        </is>
      </c>
      <c r="L109" s="135" t="n"/>
      <c r="M109" s="135" t="n"/>
      <c r="N109" s="135" t="n"/>
      <c r="O109" s="135" t="n"/>
      <c r="P109" s="135" t="n"/>
      <c r="Q109" s="136" t="inlineStr">
        <is>
          <t>直估0.5·AI执行×0.65</t>
        </is>
      </c>
    </row>
    <row r="110">
      <c r="A110" s="135" t="inlineStr">
        <is>
          <t>4.6.9</t>
        </is>
      </c>
      <c r="B110" s="136" t="inlineStr">
        <is>
          <t>导入执行与监控（前端/应用侧）</t>
        </is>
      </c>
      <c r="C110" s="135" t="n">
        <v>3</v>
      </c>
      <c r="D110" s="136" t="n"/>
      <c r="E110" s="135" t="inlineStr">
        <is>
          <t>Wade</t>
        </is>
      </c>
      <c r="F110" s="148" t="n">
        <v>46315</v>
      </c>
      <c r="G110" s="148" t="n">
        <v>46316</v>
      </c>
      <c r="H110" s="138" t="n">
        <v>2</v>
      </c>
      <c r="I110" s="139" t="n">
        <v>0.98</v>
      </c>
      <c r="J110" s="136" t="inlineStr">
        <is>
          <t>AI生成+人工审核</t>
        </is>
      </c>
      <c r="K110" s="136" t="inlineStr">
        <is>
          <t>2.2.2</t>
        </is>
      </c>
      <c r="L110" s="135" t="n"/>
      <c r="M110" s="135" t="n"/>
      <c r="N110" s="135" t="n"/>
      <c r="O110" s="135" t="n"/>
      <c r="P110" s="135" t="n"/>
      <c r="Q110" s="136" t="inlineStr">
        <is>
          <t>直估1.5·AI执行×0.65</t>
        </is>
      </c>
    </row>
    <row r="111">
      <c r="A111" s="135" t="inlineStr">
        <is>
          <t>4.6.10</t>
        </is>
      </c>
      <c r="B111" s="136" t="inlineStr">
        <is>
          <t>原系统基本信息录入（数据/服务侧）</t>
        </is>
      </c>
      <c r="C111" s="135" t="n">
        <v>3</v>
      </c>
      <c r="D111" s="136" t="n"/>
      <c r="E111" s="135" t="inlineStr">
        <is>
          <t>DevB</t>
        </is>
      </c>
      <c r="F111" s="148" t="n">
        <v>46308</v>
      </c>
      <c r="G111" s="148" t="n">
        <v>46308</v>
      </c>
      <c r="H111" s="138" t="n">
        <v>1</v>
      </c>
      <c r="I111" s="139" t="n">
        <v>0.33</v>
      </c>
      <c r="J111" s="136" t="inlineStr">
        <is>
          <t>AI生成+人工审核</t>
        </is>
      </c>
      <c r="K111" s="136" t="inlineStr">
        <is>
          <t>2.2.2</t>
        </is>
      </c>
      <c r="L111" s="135" t="n"/>
      <c r="M111" s="135" t="n"/>
      <c r="N111" s="135" t="n"/>
      <c r="O111" s="135" t="n"/>
      <c r="P111" s="135" t="n"/>
      <c r="Q111" s="136" t="inlineStr">
        <is>
          <t>直估0.5·AI执行×0.65</t>
        </is>
      </c>
    </row>
    <row r="112">
      <c r="A112" s="135" t="inlineStr">
        <is>
          <t>4.6.11</t>
        </is>
      </c>
      <c r="B112" s="136" t="inlineStr">
        <is>
          <t>源库DB连接配置（数据/服务侧）</t>
        </is>
      </c>
      <c r="C112" s="135" t="n">
        <v>3</v>
      </c>
      <c r="D112" s="136" t="n"/>
      <c r="E112" s="135" t="inlineStr">
        <is>
          <t>DevB</t>
        </is>
      </c>
      <c r="F112" s="148" t="n">
        <v>46308</v>
      </c>
      <c r="G112" s="148" t="n">
        <v>46309</v>
      </c>
      <c r="H112" s="138" t="n">
        <v>2</v>
      </c>
      <c r="I112" s="139" t="n">
        <v>0.65</v>
      </c>
      <c r="J112" s="136" t="inlineStr">
        <is>
          <t>AI生成+人工审核</t>
        </is>
      </c>
      <c r="K112" s="136" t="inlineStr">
        <is>
          <t>2.2.2</t>
        </is>
      </c>
      <c r="L112" s="135" t="n"/>
      <c r="M112" s="135" t="n"/>
      <c r="N112" s="135" t="n"/>
      <c r="O112" s="135" t="n"/>
      <c r="P112" s="135" t="n"/>
      <c r="Q112" s="136" t="inlineStr">
        <is>
          <t>直估1·AI执行×0.65</t>
        </is>
      </c>
    </row>
    <row r="113">
      <c r="A113" s="135" t="inlineStr">
        <is>
          <t>4.6.12</t>
        </is>
      </c>
      <c r="B113" s="136" t="inlineStr">
        <is>
          <t>同步表勾选（数据/服务侧）</t>
        </is>
      </c>
      <c r="C113" s="135" t="n">
        <v>3</v>
      </c>
      <c r="D113" s="136" t="n"/>
      <c r="E113" s="135" t="inlineStr">
        <is>
          <t>DevB</t>
        </is>
      </c>
      <c r="F113" s="148" t="n">
        <v>46309</v>
      </c>
      <c r="G113" s="148" t="n">
        <v>46310</v>
      </c>
      <c r="H113" s="138" t="n">
        <v>2</v>
      </c>
      <c r="I113" s="139" t="n">
        <v>0.65</v>
      </c>
      <c r="J113" s="136" t="inlineStr">
        <is>
          <t>AI生成+人工审核</t>
        </is>
      </c>
      <c r="K113" s="136" t="inlineStr">
        <is>
          <t>2.2.2</t>
        </is>
      </c>
      <c r="L113" s="135" t="n"/>
      <c r="M113" s="135" t="n"/>
      <c r="N113" s="135" t="n"/>
      <c r="O113" s="135" t="n"/>
      <c r="P113" s="135" t="n"/>
      <c r="Q113" s="136" t="inlineStr">
        <is>
          <t>直估1·AI执行×0.65</t>
        </is>
      </c>
    </row>
    <row r="114">
      <c r="A114" s="135" t="inlineStr">
        <is>
          <t>4.6.13</t>
        </is>
      </c>
      <c r="B114" s="136" t="inlineStr">
        <is>
          <t>保留期限与迁移参数配置（数据/服务侧）</t>
        </is>
      </c>
      <c r="C114" s="135" t="n">
        <v>3</v>
      </c>
      <c r="D114" s="136" t="n"/>
      <c r="E114" s="135" t="inlineStr">
        <is>
          <t>DevB</t>
        </is>
      </c>
      <c r="F114" s="148" t="n">
        <v>46310</v>
      </c>
      <c r="G114" s="148" t="n">
        <v>46310</v>
      </c>
      <c r="H114" s="138" t="n">
        <v>1</v>
      </c>
      <c r="I114" s="139" t="n">
        <v>0.33</v>
      </c>
      <c r="J114" s="136" t="inlineStr">
        <is>
          <t>AI生成+人工审核</t>
        </is>
      </c>
      <c r="K114" s="136" t="inlineStr">
        <is>
          <t>2.2.2</t>
        </is>
      </c>
      <c r="L114" s="135" t="n"/>
      <c r="M114" s="135" t="n"/>
      <c r="N114" s="135" t="n"/>
      <c r="O114" s="135" t="n"/>
      <c r="P114" s="135" t="n"/>
      <c r="Q114" s="136" t="inlineStr">
        <is>
          <t>直估0.5·AI执行×0.65</t>
        </is>
      </c>
    </row>
    <row r="115">
      <c r="A115" s="135" t="inlineStr">
        <is>
          <t>4.6.14</t>
        </is>
      </c>
      <c r="B115" s="136" t="inlineStr">
        <is>
          <t>存储落地实现（Iceberg/UC）（数据/服务侧）</t>
        </is>
      </c>
      <c r="C115" s="135" t="n">
        <v>3</v>
      </c>
      <c r="D115" s="136" t="n"/>
      <c r="E115" s="135" t="inlineStr">
        <is>
          <t>DevB</t>
        </is>
      </c>
      <c r="F115" s="148" t="n">
        <v>46310</v>
      </c>
      <c r="G115" s="148" t="n">
        <v>46311</v>
      </c>
      <c r="H115" s="138" t="n">
        <v>2</v>
      </c>
      <c r="I115" s="139" t="n">
        <v>1.3</v>
      </c>
      <c r="J115" s="136" t="inlineStr">
        <is>
          <t>AI生成+人工审核</t>
        </is>
      </c>
      <c r="K115" s="136" t="inlineStr">
        <is>
          <t>2.2.2</t>
        </is>
      </c>
      <c r="L115" s="135" t="n"/>
      <c r="M115" s="135" t="n"/>
      <c r="N115" s="135" t="n"/>
      <c r="O115" s="135" t="n"/>
      <c r="P115" s="135" t="n"/>
      <c r="Q115" s="136" t="inlineStr">
        <is>
          <t>直估2·AI执行×0.65</t>
        </is>
      </c>
    </row>
    <row r="116">
      <c r="A116" s="135" t="inlineStr">
        <is>
          <t>4.6.15</t>
        </is>
      </c>
      <c r="B116" s="136" t="inlineStr">
        <is>
          <t>SeaTunnel批量导入作业（数据/服务侧）</t>
        </is>
      </c>
      <c r="C116" s="135" t="n">
        <v>3</v>
      </c>
      <c r="D116" s="136" t="n"/>
      <c r="E116" s="135" t="inlineStr">
        <is>
          <t>DevB</t>
        </is>
      </c>
      <c r="F116" s="148" t="n">
        <v>46311</v>
      </c>
      <c r="G116" s="148" t="n">
        <v>46315</v>
      </c>
      <c r="H116" s="138" t="n">
        <v>3</v>
      </c>
      <c r="I116" s="139" t="n">
        <v>1.62</v>
      </c>
      <c r="J116" s="136" t="inlineStr">
        <is>
          <t>AI生成+人工审核</t>
        </is>
      </c>
      <c r="K116" s="136" t="inlineStr">
        <is>
          <t>2.2.2</t>
        </is>
      </c>
      <c r="L116" s="135" t="n"/>
      <c r="M116" s="135" t="n"/>
      <c r="N116" s="135" t="n"/>
      <c r="O116" s="135" t="n"/>
      <c r="P116" s="135" t="n"/>
      <c r="Q116" s="136" t="inlineStr">
        <is>
          <t>直估2.5·AI执行×0.65</t>
        </is>
      </c>
    </row>
    <row r="117">
      <c r="A117" s="135" t="inlineStr">
        <is>
          <t>4.6.16</t>
        </is>
      </c>
      <c r="B117" s="136" t="inlineStr">
        <is>
          <t>导入执行与监控（数据/服务侧）</t>
        </is>
      </c>
      <c r="C117" s="135" t="n">
        <v>3</v>
      </c>
      <c r="D117" s="136" t="n"/>
      <c r="E117" s="135" t="inlineStr">
        <is>
          <t>DevB</t>
        </is>
      </c>
      <c r="F117" s="148" t="n">
        <v>46315</v>
      </c>
      <c r="G117" s="148" t="n">
        <v>46315</v>
      </c>
      <c r="H117" s="138" t="n">
        <v>1</v>
      </c>
      <c r="I117" s="139" t="n">
        <v>0.33</v>
      </c>
      <c r="J117" s="136" t="inlineStr">
        <is>
          <t>AI生成+人工审核</t>
        </is>
      </c>
      <c r="K117" s="136" t="inlineStr">
        <is>
          <t>2.2.2</t>
        </is>
      </c>
      <c r="L117" s="135" t="n"/>
      <c r="M117" s="135" t="n"/>
      <c r="N117" s="135" t="n"/>
      <c r="O117" s="135" t="n"/>
      <c r="P117" s="135" t="n"/>
      <c r="Q117" s="136" t="inlineStr">
        <is>
          <t>直估0.5·AI执行×0.65</t>
        </is>
      </c>
    </row>
    <row r="118">
      <c r="A118" s="125" t="inlineStr">
        <is>
          <t>4.7</t>
        </is>
      </c>
      <c r="B118" s="126" t="inlineStr">
        <is>
          <t>F01-02 F01-02 非结构化文件及离线包批量导入</t>
        </is>
      </c>
      <c r="C118" s="125" t="n">
        <v>2</v>
      </c>
      <c r="D118" s="126" t="n"/>
      <c r="E118" s="125" t="inlineStr">
        <is>
          <t>DevB/Mandy/Wade</t>
        </is>
      </c>
      <c r="F118" s="146" t="n">
        <v>46309</v>
      </c>
      <c r="G118" s="146" t="n">
        <v>46330</v>
      </c>
      <c r="H118" s="128" t="n">
        <v>16</v>
      </c>
      <c r="I118" s="129">
        <f>ROUND(SUMPRODUCT(($C$119:$C$127=3)*(LEFT($A$119:$A$127,LEN(A118)+1)=A118&amp;".")*$I$119:$I$127),2)</f>
        <v/>
      </c>
      <c r="J118" s="126" t="n"/>
      <c r="K118" s="126" t="n"/>
      <c r="L118" s="125" t="n"/>
      <c r="M118" s="125" t="n"/>
      <c r="N118" s="125" t="n"/>
      <c r="O118" s="125" t="n"/>
      <c r="P118" s="125" t="n"/>
      <c r="Q118" s="126" t="n"/>
    </row>
    <row r="119">
      <c r="A119" s="135" t="inlineStr">
        <is>
          <t>4.7.1</t>
        </is>
      </c>
      <c r="B119" s="136" t="inlineStr">
        <is>
          <t>BA：需求澄清与规则定义（F01-02）</t>
        </is>
      </c>
      <c r="C119" s="135" t="n">
        <v>3</v>
      </c>
      <c r="D119" s="136" t="n"/>
      <c r="E119" s="135" t="inlineStr">
        <is>
          <t>Mandy</t>
        </is>
      </c>
      <c r="F119" s="148" t="n">
        <v>46309</v>
      </c>
      <c r="G119" s="148" t="n">
        <v>46310</v>
      </c>
      <c r="H119" s="138" t="n">
        <v>2</v>
      </c>
      <c r="I119" s="139" t="n">
        <v>0.38</v>
      </c>
      <c r="J119" s="136" t="inlineStr">
        <is>
          <t>AI辅助</t>
        </is>
      </c>
      <c r="K119" s="136" t="inlineStr">
        <is>
          <t>2.2.2</t>
        </is>
      </c>
      <c r="L119" s="135" t="n"/>
      <c r="M119" s="135" t="n"/>
      <c r="N119" s="135" t="n"/>
      <c r="O119" s="135" t="n"/>
      <c r="P119" s="135" t="n"/>
      <c r="Q119" s="136" t="inlineStr">
        <is>
          <t>直估0.5·AI执行×0.75</t>
        </is>
      </c>
    </row>
    <row r="120">
      <c r="A120" s="135" t="inlineStr">
        <is>
          <t>4.7.2</t>
        </is>
      </c>
      <c r="B120" s="136" t="inlineStr">
        <is>
          <t>测试：用例设计与执行（F01-02·测试左移：AI用例随BA澄清先行、随CI构建持续验证）</t>
        </is>
      </c>
      <c r="C120" s="135" t="n">
        <v>3</v>
      </c>
      <c r="D120" s="136" t="n"/>
      <c r="E120" s="135" t="inlineStr">
        <is>
          <t>Mandy</t>
        </is>
      </c>
      <c r="F120" s="148" t="n">
        <v>46328</v>
      </c>
      <c r="G120" s="148" t="n">
        <v>46329</v>
      </c>
      <c r="H120" s="138" t="n">
        <v>2</v>
      </c>
      <c r="I120" s="139" t="n">
        <v>1.65</v>
      </c>
      <c r="J120" s="136" t="inlineStr">
        <is>
          <t>AI生成用例+人工审校执行</t>
        </is>
      </c>
      <c r="K120" s="136" t="inlineStr">
        <is>
          <t>4.7.1</t>
        </is>
      </c>
      <c r="L120" s="135" t="n"/>
      <c r="M120" s="135" t="n"/>
      <c r="N120" s="135" t="n"/>
      <c r="O120" s="135" t="n"/>
      <c r="P120" s="135" t="n"/>
      <c r="Q120" s="136" t="inlineStr">
        <is>
          <t>直估2.75·AI执行×0.6</t>
        </is>
      </c>
    </row>
    <row r="121">
      <c r="A121" s="135" t="inlineStr">
        <is>
          <t>4.7.3</t>
        </is>
      </c>
      <c r="B121" s="136" t="inlineStr">
        <is>
          <t>SLC文档汇编（F01-02，按功能·初稿随开发滚动AI反生成、定稿见7.1）</t>
        </is>
      </c>
      <c r="C121" s="135" t="n">
        <v>3</v>
      </c>
      <c r="D121" s="136" t="n"/>
      <c r="E121" s="135" t="inlineStr">
        <is>
          <t>Mandy</t>
        </is>
      </c>
      <c r="F121" s="148" t="n">
        <v>46329</v>
      </c>
      <c r="G121" s="148" t="n">
        <v>46330</v>
      </c>
      <c r="H121" s="138" t="n">
        <v>2</v>
      </c>
      <c r="I121" s="139" t="n">
        <v>0.38</v>
      </c>
      <c r="J121" s="136" t="inlineStr">
        <is>
          <t>AI辅助</t>
        </is>
      </c>
      <c r="K121" s="136" t="inlineStr">
        <is>
          <t>4.7.1</t>
        </is>
      </c>
      <c r="L121" s="135" t="n"/>
      <c r="M121" s="135" t="n"/>
      <c r="N121" s="135" t="n"/>
      <c r="O121" s="135" t="n"/>
      <c r="P121" s="135" t="n"/>
      <c r="Q121" s="136" t="inlineStr">
        <is>
          <t>直估0.5·AI执行×0.75</t>
        </is>
      </c>
    </row>
    <row r="122">
      <c r="A122" s="135" t="inlineStr">
        <is>
          <t>4.7.4</t>
        </is>
      </c>
      <c r="B122" s="136" t="inlineStr">
        <is>
          <t>文件来源登记与上传通道（前端/应用侧）</t>
        </is>
      </c>
      <c r="C122" s="135" t="n">
        <v>3</v>
      </c>
      <c r="D122" s="136" t="n"/>
      <c r="E122" s="135" t="inlineStr">
        <is>
          <t>Wade</t>
        </is>
      </c>
      <c r="F122" s="148" t="n">
        <v>46316</v>
      </c>
      <c r="G122" s="148" t="n">
        <v>46317</v>
      </c>
      <c r="H122" s="138" t="n">
        <v>2</v>
      </c>
      <c r="I122" s="139" t="n">
        <v>1.3</v>
      </c>
      <c r="J122" s="136" t="inlineStr">
        <is>
          <t>AI生成+人工审核</t>
        </is>
      </c>
      <c r="K122" s="136" t="inlineStr">
        <is>
          <t>2.2.2</t>
        </is>
      </c>
      <c r="L122" s="135" t="n"/>
      <c r="M122" s="135" t="n"/>
      <c r="N122" s="135" t="n"/>
      <c r="O122" s="135" t="n"/>
      <c r="P122" s="135" t="n"/>
      <c r="Q122" s="136" t="inlineStr">
        <is>
          <t>直估2·AI执行×0.65</t>
        </is>
      </c>
    </row>
    <row r="123">
      <c r="A123" s="135" t="inlineStr">
        <is>
          <t>4.7.5</t>
        </is>
      </c>
      <c r="B123" s="136" t="inlineStr">
        <is>
          <t>大文件分片上传与断点续传（前端/应用侧）</t>
        </is>
      </c>
      <c r="C123" s="135" t="n">
        <v>3</v>
      </c>
      <c r="D123" s="136" t="n"/>
      <c r="E123" s="135" t="inlineStr">
        <is>
          <t>Wade</t>
        </is>
      </c>
      <c r="F123" s="148" t="n">
        <v>46317</v>
      </c>
      <c r="G123" s="148" t="n">
        <v>46318</v>
      </c>
      <c r="H123" s="138" t="n">
        <v>2</v>
      </c>
      <c r="I123" s="139" t="n">
        <v>0.98</v>
      </c>
      <c r="J123" s="136" t="inlineStr">
        <is>
          <t>AI生成+人工审核</t>
        </is>
      </c>
      <c r="K123" s="136" t="inlineStr">
        <is>
          <t>2.2.2</t>
        </is>
      </c>
      <c r="L123" s="135" t="n"/>
      <c r="M123" s="135" t="n"/>
      <c r="N123" s="135" t="n"/>
      <c r="O123" s="135" t="n"/>
      <c r="P123" s="135" t="n"/>
      <c r="Q123" s="136" t="inlineStr">
        <is>
          <t>直估1.5·AI执行×0.65</t>
        </is>
      </c>
    </row>
    <row r="124">
      <c r="A124" s="135" t="inlineStr">
        <is>
          <t>4.7.6</t>
        </is>
      </c>
      <c r="B124" s="136" t="inlineStr">
        <is>
          <t>文件来源登记与上传通道（数据/服务侧）</t>
        </is>
      </c>
      <c r="C124" s="135" t="n">
        <v>3</v>
      </c>
      <c r="D124" s="136" t="n"/>
      <c r="E124" s="135" t="inlineStr">
        <is>
          <t>DevB</t>
        </is>
      </c>
      <c r="F124" s="148" t="n">
        <v>46315</v>
      </c>
      <c r="G124" s="148" t="n">
        <v>46316</v>
      </c>
      <c r="H124" s="138" t="n">
        <v>2</v>
      </c>
      <c r="I124" s="139" t="n">
        <v>0.65</v>
      </c>
      <c r="J124" s="136" t="inlineStr">
        <is>
          <t>AI生成+人工审核</t>
        </is>
      </c>
      <c r="K124" s="136" t="inlineStr">
        <is>
          <t>2.2.2</t>
        </is>
      </c>
      <c r="L124" s="135" t="n"/>
      <c r="M124" s="135" t="n"/>
      <c r="N124" s="135" t="n"/>
      <c r="O124" s="135" t="n"/>
      <c r="P124" s="135" t="n"/>
      <c r="Q124" s="136" t="inlineStr">
        <is>
          <t>直估1·AI执行×0.65</t>
        </is>
      </c>
    </row>
    <row r="125">
      <c r="A125" s="135" t="inlineStr">
        <is>
          <t>4.7.7</t>
        </is>
      </c>
      <c r="B125" s="136" t="inlineStr">
        <is>
          <t>大文件分片上传与断点续传（数据/服务侧）</t>
        </is>
      </c>
      <c r="C125" s="135" t="n">
        <v>3</v>
      </c>
      <c r="D125" s="136" t="n"/>
      <c r="E125" s="135" t="inlineStr">
        <is>
          <t>DevB</t>
        </is>
      </c>
      <c r="F125" s="148" t="n">
        <v>46316</v>
      </c>
      <c r="G125" s="148" t="n">
        <v>46317</v>
      </c>
      <c r="H125" s="138" t="n">
        <v>2</v>
      </c>
      <c r="I125" s="139" t="n">
        <v>0.98</v>
      </c>
      <c r="J125" s="136" t="inlineStr">
        <is>
          <t>AI生成+人工审核</t>
        </is>
      </c>
      <c r="K125" s="136" t="inlineStr">
        <is>
          <t>2.2.2</t>
        </is>
      </c>
      <c r="L125" s="135" t="n"/>
      <c r="M125" s="135" t="n"/>
      <c r="N125" s="135" t="n"/>
      <c r="O125" s="135" t="n"/>
      <c r="P125" s="135" t="n"/>
      <c r="Q125" s="136" t="inlineStr">
        <is>
          <t>直估1.5·AI执行×0.65</t>
        </is>
      </c>
    </row>
    <row r="126">
      <c r="A126" s="135" t="inlineStr">
        <is>
          <t>4.7.8</t>
        </is>
      </c>
      <c r="B126" s="136" t="inlineStr">
        <is>
          <t>文件包解析（数据/服务侧）</t>
        </is>
      </c>
      <c r="C126" s="135" t="n">
        <v>3</v>
      </c>
      <c r="D126" s="136" t="n"/>
      <c r="E126" s="135" t="inlineStr">
        <is>
          <t>DevB</t>
        </is>
      </c>
      <c r="F126" s="148" t="n">
        <v>46317</v>
      </c>
      <c r="G126" s="148" t="n">
        <v>46318</v>
      </c>
      <c r="H126" s="138" t="n">
        <v>2</v>
      </c>
      <c r="I126" s="139" t="n">
        <v>0.98</v>
      </c>
      <c r="J126" s="136" t="inlineStr">
        <is>
          <t>AI生成+人工审核</t>
        </is>
      </c>
      <c r="K126" s="136" t="inlineStr">
        <is>
          <t>2.2.2</t>
        </is>
      </c>
      <c r="L126" s="135" t="n"/>
      <c r="M126" s="135" t="n"/>
      <c r="N126" s="135" t="n"/>
      <c r="O126" s="135" t="n"/>
      <c r="P126" s="135" t="n"/>
      <c r="Q126" s="136" t="inlineStr">
        <is>
          <t>直估1.5·AI执行×0.65</t>
        </is>
      </c>
    </row>
    <row r="127">
      <c r="A127" s="135" t="inlineStr">
        <is>
          <t>4.7.9</t>
        </is>
      </c>
      <c r="B127" s="136" t="inlineStr">
        <is>
          <t>附件元数据与Blob存储布局（数据/服务侧）</t>
        </is>
      </c>
      <c r="C127" s="135" t="n">
        <v>3</v>
      </c>
      <c r="D127" s="136" t="n"/>
      <c r="E127" s="135" t="inlineStr">
        <is>
          <t>DevB</t>
        </is>
      </c>
      <c r="F127" s="148" t="n">
        <v>46318</v>
      </c>
      <c r="G127" s="148" t="n">
        <v>46321</v>
      </c>
      <c r="H127" s="138" t="n">
        <v>2</v>
      </c>
      <c r="I127" s="139" t="n">
        <v>0.98</v>
      </c>
      <c r="J127" s="136" t="inlineStr">
        <is>
          <t>AI生成+人工审核</t>
        </is>
      </c>
      <c r="K127" s="136" t="inlineStr">
        <is>
          <t>2.2.2</t>
        </is>
      </c>
      <c r="L127" s="135" t="n"/>
      <c r="M127" s="135" t="n"/>
      <c r="N127" s="135" t="n"/>
      <c r="O127" s="135" t="n"/>
      <c r="P127" s="135" t="n"/>
      <c r="Q127" s="136" t="inlineStr">
        <is>
          <t>直估1.5·AI执行×0.65</t>
        </is>
      </c>
    </row>
    <row r="128">
      <c r="A128" s="125" t="inlineStr">
        <is>
          <t>4.8</t>
        </is>
      </c>
      <c r="B128" s="126" t="inlineStr">
        <is>
          <t>F01-03 F01-03 数据导入规则配置</t>
        </is>
      </c>
      <c r="C128" s="125" t="n">
        <v>2</v>
      </c>
      <c r="D128" s="126" t="n"/>
      <c r="E128" s="125" t="inlineStr">
        <is>
          <t>DevB/Mandy/Wade</t>
        </is>
      </c>
      <c r="F128" s="146" t="n">
        <v>46310</v>
      </c>
      <c r="G128" s="146" t="n">
        <v>46331</v>
      </c>
      <c r="H128" s="128" t="n">
        <v>16</v>
      </c>
      <c r="I128" s="129">
        <f>ROUND(SUMPRODUCT(($C$129:$C$138=3)*(LEFT($A$129:$A$138,LEN(A128)+1)=A128&amp;".")*$I$129:$I$138),2)</f>
        <v/>
      </c>
      <c r="J128" s="126" t="n"/>
      <c r="K128" s="126" t="n"/>
      <c r="L128" s="125" t="n"/>
      <c r="M128" s="125" t="n"/>
      <c r="N128" s="125" t="n"/>
      <c r="O128" s="125" t="n"/>
      <c r="P128" s="125" t="n"/>
      <c r="Q128" s="126" t="n"/>
    </row>
    <row r="129">
      <c r="A129" s="135" t="inlineStr">
        <is>
          <t>4.8.1</t>
        </is>
      </c>
      <c r="B129" s="136" t="inlineStr">
        <is>
          <t>BA：需求澄清与规则定义（F01-03）</t>
        </is>
      </c>
      <c r="C129" s="135" t="n">
        <v>3</v>
      </c>
      <c r="D129" s="136" t="n"/>
      <c r="E129" s="135" t="inlineStr">
        <is>
          <t>Mandy</t>
        </is>
      </c>
      <c r="F129" s="148" t="n">
        <v>46310</v>
      </c>
      <c r="G129" s="148" t="n">
        <v>46310</v>
      </c>
      <c r="H129" s="138" t="n">
        <v>1</v>
      </c>
      <c r="I129" s="139" t="n">
        <v>0.75</v>
      </c>
      <c r="J129" s="136" t="inlineStr">
        <is>
          <t>AI辅助</t>
        </is>
      </c>
      <c r="K129" s="136" t="inlineStr">
        <is>
          <t>2.2.2</t>
        </is>
      </c>
      <c r="L129" s="135" t="n"/>
      <c r="M129" s="135" t="n"/>
      <c r="N129" s="135" t="n"/>
      <c r="O129" s="135" t="n"/>
      <c r="P129" s="135" t="n"/>
      <c r="Q129" s="136" t="inlineStr">
        <is>
          <t>直估1·AI执行×0.75</t>
        </is>
      </c>
    </row>
    <row r="130">
      <c r="A130" s="135" t="inlineStr">
        <is>
          <t>4.8.2</t>
        </is>
      </c>
      <c r="B130" s="136" t="inlineStr">
        <is>
          <t>测试：用例设计与执行（F01-03·测试左移：AI用例随BA澄清先行、随CI构建持续验证）</t>
        </is>
      </c>
      <c r="C130" s="135" t="n">
        <v>3</v>
      </c>
      <c r="D130" s="136" t="n"/>
      <c r="E130" s="135" t="inlineStr">
        <is>
          <t>Mandy</t>
        </is>
      </c>
      <c r="F130" s="148" t="n">
        <v>46330</v>
      </c>
      <c r="G130" s="148" t="n">
        <v>46331</v>
      </c>
      <c r="H130" s="138" t="n">
        <v>2</v>
      </c>
      <c r="I130" s="139" t="n">
        <v>1.35</v>
      </c>
      <c r="J130" s="136" t="inlineStr">
        <is>
          <t>AI生成用例+人工审校执行</t>
        </is>
      </c>
      <c r="K130" s="136" t="inlineStr">
        <is>
          <t>4.8.1</t>
        </is>
      </c>
      <c r="L130" s="135" t="n"/>
      <c r="M130" s="135" t="n"/>
      <c r="N130" s="135" t="n"/>
      <c r="O130" s="135" t="n"/>
      <c r="P130" s="135" t="n"/>
      <c r="Q130" s="136" t="inlineStr">
        <is>
          <t>直估2.25·AI执行×0.6</t>
        </is>
      </c>
    </row>
    <row r="131">
      <c r="A131" s="135" t="inlineStr">
        <is>
          <t>4.8.3</t>
        </is>
      </c>
      <c r="B131" s="136" t="inlineStr">
        <is>
          <t>SLC文档汇编（F01-03，按功能·初稿随开发滚动AI反生成、定稿见7.1）</t>
        </is>
      </c>
      <c r="C131" s="135" t="n">
        <v>3</v>
      </c>
      <c r="D131" s="136" t="n"/>
      <c r="E131" s="135" t="inlineStr">
        <is>
          <t>Mandy</t>
        </is>
      </c>
      <c r="F131" s="148" t="n">
        <v>46331</v>
      </c>
      <c r="G131" s="148" t="n">
        <v>46331</v>
      </c>
      <c r="H131" s="138" t="n">
        <v>1</v>
      </c>
      <c r="I131" s="139" t="n">
        <v>0.38</v>
      </c>
      <c r="J131" s="136" t="inlineStr">
        <is>
          <t>AI辅助</t>
        </is>
      </c>
      <c r="K131" s="136" t="inlineStr">
        <is>
          <t>4.8.1</t>
        </is>
      </c>
      <c r="L131" s="135" t="n"/>
      <c r="M131" s="135" t="n"/>
      <c r="N131" s="135" t="n"/>
      <c r="O131" s="135" t="n"/>
      <c r="P131" s="135" t="n"/>
      <c r="Q131" s="136" t="inlineStr">
        <is>
          <t>直估0.5·AI执行×0.75</t>
        </is>
      </c>
    </row>
    <row r="132">
      <c r="A132" s="135" t="inlineStr">
        <is>
          <t>4.8.4</t>
        </is>
      </c>
      <c r="B132" s="136" t="inlineStr">
        <is>
          <t>字段映射规则配置（前端/应用侧）</t>
        </is>
      </c>
      <c r="C132" s="135" t="n">
        <v>3</v>
      </c>
      <c r="D132" s="136" t="n"/>
      <c r="E132" s="135" t="inlineStr">
        <is>
          <t>Wade</t>
        </is>
      </c>
      <c r="F132" s="148" t="n">
        <v>46318</v>
      </c>
      <c r="G132" s="148" t="n">
        <v>46322</v>
      </c>
      <c r="H132" s="138" t="n">
        <v>3</v>
      </c>
      <c r="I132" s="139" t="n">
        <v>1.3</v>
      </c>
      <c r="J132" s="136" t="inlineStr">
        <is>
          <t>AI生成+人工审核</t>
        </is>
      </c>
      <c r="K132" s="136" t="inlineStr">
        <is>
          <t>2.2.2</t>
        </is>
      </c>
      <c r="L132" s="135" t="n"/>
      <c r="M132" s="135" t="n"/>
      <c r="N132" s="135" t="n"/>
      <c r="O132" s="135" t="n"/>
      <c r="P132" s="135" t="n"/>
      <c r="Q132" s="136" t="inlineStr">
        <is>
          <t>直估2·AI执行×0.65</t>
        </is>
      </c>
    </row>
    <row r="133">
      <c r="A133" s="135" t="inlineStr">
        <is>
          <t>4.8.5</t>
        </is>
      </c>
      <c r="B133" s="136" t="inlineStr">
        <is>
          <t>校验规则配置（前端/应用侧）</t>
        </is>
      </c>
      <c r="C133" s="135" t="n">
        <v>3</v>
      </c>
      <c r="D133" s="136" t="n"/>
      <c r="E133" s="135" t="inlineStr">
        <is>
          <t>Wade</t>
        </is>
      </c>
      <c r="F133" s="148" t="n">
        <v>46322</v>
      </c>
      <c r="G133" s="148" t="n">
        <v>46322</v>
      </c>
      <c r="H133" s="138" t="n">
        <v>1</v>
      </c>
      <c r="I133" s="139" t="n">
        <v>0.65</v>
      </c>
      <c r="J133" s="136" t="inlineStr">
        <is>
          <t>AI生成+人工审核</t>
        </is>
      </c>
      <c r="K133" s="136" t="inlineStr">
        <is>
          <t>2.2.2</t>
        </is>
      </c>
      <c r="L133" s="135" t="n"/>
      <c r="M133" s="135" t="n"/>
      <c r="N133" s="135" t="n"/>
      <c r="O133" s="135" t="n"/>
      <c r="P133" s="135" t="n"/>
      <c r="Q133" s="136" t="inlineStr">
        <is>
          <t>直估1·AI执行×0.65</t>
        </is>
      </c>
    </row>
    <row r="134">
      <c r="A134" s="135" t="inlineStr">
        <is>
          <t>4.8.6</t>
        </is>
      </c>
      <c r="B134" s="136" t="inlineStr">
        <is>
          <t>规则版本与试跑预览（前端/应用侧）</t>
        </is>
      </c>
      <c r="C134" s="135" t="n">
        <v>3</v>
      </c>
      <c r="D134" s="136" t="n"/>
      <c r="E134" s="135" t="inlineStr">
        <is>
          <t>Wade</t>
        </is>
      </c>
      <c r="F134" s="148" t="n">
        <v>46322</v>
      </c>
      <c r="G134" s="148" t="n">
        <v>46323</v>
      </c>
      <c r="H134" s="138" t="n">
        <v>2</v>
      </c>
      <c r="I134" s="139" t="n">
        <v>0.33</v>
      </c>
      <c r="J134" s="136" t="inlineStr">
        <is>
          <t>AI生成+人工审核</t>
        </is>
      </c>
      <c r="K134" s="136" t="inlineStr">
        <is>
          <t>2.2.2</t>
        </is>
      </c>
      <c r="L134" s="135" t="n"/>
      <c r="M134" s="135" t="n"/>
      <c r="N134" s="135" t="n"/>
      <c r="O134" s="135" t="n"/>
      <c r="P134" s="135" t="n"/>
      <c r="Q134" s="136" t="inlineStr">
        <is>
          <t>直估0.5·AI执行×0.65</t>
        </is>
      </c>
    </row>
    <row r="135">
      <c r="A135" s="135" t="inlineStr">
        <is>
          <t>4.8.7</t>
        </is>
      </c>
      <c r="B135" s="136" t="inlineStr">
        <is>
          <t>字段映射规则配置（数据/服务侧）</t>
        </is>
      </c>
      <c r="C135" s="135" t="n">
        <v>3</v>
      </c>
      <c r="D135" s="136" t="n"/>
      <c r="E135" s="135" t="inlineStr">
        <is>
          <t>DevB</t>
        </is>
      </c>
      <c r="F135" s="148" t="n">
        <v>46321</v>
      </c>
      <c r="G135" s="148" t="n">
        <v>46321</v>
      </c>
      <c r="H135" s="138" t="n">
        <v>1</v>
      </c>
      <c r="I135" s="139" t="n">
        <v>0.33</v>
      </c>
      <c r="J135" s="136" t="inlineStr">
        <is>
          <t>AI生成+人工审核</t>
        </is>
      </c>
      <c r="K135" s="136" t="inlineStr">
        <is>
          <t>2.2.2</t>
        </is>
      </c>
      <c r="L135" s="135" t="n"/>
      <c r="M135" s="135" t="n"/>
      <c r="N135" s="135" t="n"/>
      <c r="O135" s="135" t="n"/>
      <c r="P135" s="135" t="n"/>
      <c r="Q135" s="136" t="inlineStr">
        <is>
          <t>直估0.5·AI执行×0.65</t>
        </is>
      </c>
    </row>
    <row r="136">
      <c r="A136" s="135" t="inlineStr">
        <is>
          <t>4.8.8</t>
        </is>
      </c>
      <c r="B136" s="136" t="inlineStr">
        <is>
          <t>格式转换与清洗规则（数据/服务侧）</t>
        </is>
      </c>
      <c r="C136" s="135" t="n">
        <v>3</v>
      </c>
      <c r="D136" s="136" t="n"/>
      <c r="E136" s="135" t="inlineStr">
        <is>
          <t>DevB</t>
        </is>
      </c>
      <c r="F136" s="148" t="n">
        <v>46321</v>
      </c>
      <c r="G136" s="148" t="n">
        <v>46322</v>
      </c>
      <c r="H136" s="138" t="n">
        <v>2</v>
      </c>
      <c r="I136" s="139" t="n">
        <v>0.98</v>
      </c>
      <c r="J136" s="136" t="inlineStr">
        <is>
          <t>AI生成+人工审核</t>
        </is>
      </c>
      <c r="K136" s="136" t="inlineStr">
        <is>
          <t>2.2.2</t>
        </is>
      </c>
      <c r="L136" s="135" t="n"/>
      <c r="M136" s="135" t="n"/>
      <c r="N136" s="135" t="n"/>
      <c r="O136" s="135" t="n"/>
      <c r="P136" s="135" t="n"/>
      <c r="Q136" s="136" t="inlineStr">
        <is>
          <t>直估1.5·AI执行×0.65</t>
        </is>
      </c>
    </row>
    <row r="137">
      <c r="A137" s="135" t="inlineStr">
        <is>
          <t>4.8.9</t>
        </is>
      </c>
      <c r="B137" s="136" t="inlineStr">
        <is>
          <t>校验规则配置（数据/服务侧）</t>
        </is>
      </c>
      <c r="C137" s="135" t="n">
        <v>3</v>
      </c>
      <c r="D137" s="136" t="n"/>
      <c r="E137" s="135" t="inlineStr">
        <is>
          <t>DevB</t>
        </is>
      </c>
      <c r="F137" s="148" t="n">
        <v>46322</v>
      </c>
      <c r="G137" s="148" t="n">
        <v>46323</v>
      </c>
      <c r="H137" s="138" t="n">
        <v>2</v>
      </c>
      <c r="I137" s="139" t="n">
        <v>0.65</v>
      </c>
      <c r="J137" s="136" t="inlineStr">
        <is>
          <t>AI生成+人工审核</t>
        </is>
      </c>
      <c r="K137" s="136" t="inlineStr">
        <is>
          <t>2.2.2</t>
        </is>
      </c>
      <c r="L137" s="135" t="n"/>
      <c r="M137" s="135" t="n"/>
      <c r="N137" s="135" t="n"/>
      <c r="O137" s="135" t="n"/>
      <c r="P137" s="135" t="n"/>
      <c r="Q137" s="136" t="inlineStr">
        <is>
          <t>直估1·AI执行×0.65</t>
        </is>
      </c>
    </row>
    <row r="138">
      <c r="A138" s="135" t="inlineStr">
        <is>
          <t>4.8.10</t>
        </is>
      </c>
      <c r="B138" s="136" t="inlineStr">
        <is>
          <t>规则版本与试跑预览（数据/服务侧）</t>
        </is>
      </c>
      <c r="C138" s="135" t="n">
        <v>3</v>
      </c>
      <c r="D138" s="136" t="n"/>
      <c r="E138" s="135" t="inlineStr">
        <is>
          <t>DevB</t>
        </is>
      </c>
      <c r="F138" s="148" t="n">
        <v>46323</v>
      </c>
      <c r="G138" s="148" t="n">
        <v>46323</v>
      </c>
      <c r="H138" s="138" t="n">
        <v>1</v>
      </c>
      <c r="I138" s="139" t="n">
        <v>0.65</v>
      </c>
      <c r="J138" s="136" t="inlineStr">
        <is>
          <t>AI生成+人工审核</t>
        </is>
      </c>
      <c r="K138" s="136" t="inlineStr">
        <is>
          <t>2.2.2</t>
        </is>
      </c>
      <c r="L138" s="135" t="n"/>
      <c r="M138" s="135" t="n"/>
      <c r="N138" s="135" t="n"/>
      <c r="O138" s="135" t="n"/>
      <c r="P138" s="135" t="n"/>
      <c r="Q138" s="136" t="inlineStr">
        <is>
          <t>直估1·AI执行×0.65</t>
        </is>
      </c>
    </row>
    <row r="139">
      <c r="A139" s="125" t="inlineStr">
        <is>
          <t>4.9</t>
        </is>
      </c>
      <c r="B139" s="126" t="inlineStr">
        <is>
          <t>F01-04 F01-04 迁移前完整性基准记录</t>
        </is>
      </c>
      <c r="C139" s="125" t="n">
        <v>2</v>
      </c>
      <c r="D139" s="126" t="n"/>
      <c r="E139" s="125" t="inlineStr">
        <is>
          <t>DevB/Mandy/Wade</t>
        </is>
      </c>
      <c r="F139" s="146" t="n">
        <v>46310</v>
      </c>
      <c r="G139" s="146" t="n">
        <v>46332</v>
      </c>
      <c r="H139" s="128" t="n">
        <v>17</v>
      </c>
      <c r="I139" s="129">
        <f>ROUND(SUMPRODUCT(($C$140:$C$146=3)*(LEFT($A$140:$A$146,LEN(A139)+1)=A139&amp;".")*$I$140:$I$146),2)</f>
        <v/>
      </c>
      <c r="J139" s="126" t="n"/>
      <c r="K139" s="126" t="n"/>
      <c r="L139" s="125" t="n"/>
      <c r="M139" s="125" t="n"/>
      <c r="N139" s="125" t="n"/>
      <c r="O139" s="125" t="n"/>
      <c r="P139" s="125" t="n"/>
      <c r="Q139" s="126" t="n"/>
    </row>
    <row r="140">
      <c r="A140" s="135" t="inlineStr">
        <is>
          <t>4.9.1</t>
        </is>
      </c>
      <c r="B140" s="136" t="inlineStr">
        <is>
          <t>BA：需求澄清与规则定义（F01-04）</t>
        </is>
      </c>
      <c r="C140" s="135" t="n">
        <v>3</v>
      </c>
      <c r="D140" s="136" t="n"/>
      <c r="E140" s="135" t="inlineStr">
        <is>
          <t>Mandy</t>
        </is>
      </c>
      <c r="F140" s="148" t="n">
        <v>46310</v>
      </c>
      <c r="G140" s="148" t="n">
        <v>46311</v>
      </c>
      <c r="H140" s="138" t="n">
        <v>2</v>
      </c>
      <c r="I140" s="139" t="n">
        <v>0.38</v>
      </c>
      <c r="J140" s="136" t="inlineStr">
        <is>
          <t>AI辅助</t>
        </is>
      </c>
      <c r="K140" s="136" t="inlineStr">
        <is>
          <t>2.2.2</t>
        </is>
      </c>
      <c r="L140" s="135" t="n"/>
      <c r="M140" s="135" t="n"/>
      <c r="N140" s="135" t="n"/>
      <c r="O140" s="135" t="n"/>
      <c r="P140" s="135" t="n"/>
      <c r="Q140" s="136" t="inlineStr">
        <is>
          <t>直估0.5·AI执行×0.75</t>
        </is>
      </c>
    </row>
    <row r="141">
      <c r="A141" s="135" t="inlineStr">
        <is>
          <t>4.9.2</t>
        </is>
      </c>
      <c r="B141" s="136" t="inlineStr">
        <is>
          <t>测试：用例设计与执行（F01-04·测试左移：AI用例随BA澄清先行、随CI构建持续验证）</t>
        </is>
      </c>
      <c r="C141" s="135" t="n">
        <v>3</v>
      </c>
      <c r="D141" s="136" t="n"/>
      <c r="E141" s="135" t="inlineStr">
        <is>
          <t>Mandy</t>
        </is>
      </c>
      <c r="F141" s="148" t="n">
        <v>46331</v>
      </c>
      <c r="G141" s="148" t="n">
        <v>46332</v>
      </c>
      <c r="H141" s="138" t="n">
        <v>2</v>
      </c>
      <c r="I141" s="139" t="n">
        <v>0.6</v>
      </c>
      <c r="J141" s="136" t="inlineStr">
        <is>
          <t>AI生成用例+人工审校执行</t>
        </is>
      </c>
      <c r="K141" s="136" t="inlineStr">
        <is>
          <t>4.9.1</t>
        </is>
      </c>
      <c r="L141" s="135" t="n"/>
      <c r="M141" s="135" t="n"/>
      <c r="N141" s="135" t="n"/>
      <c r="O141" s="135" t="n"/>
      <c r="P141" s="135" t="n"/>
      <c r="Q141" s="136" t="inlineStr">
        <is>
          <t>直估1·AI执行×0.6</t>
        </is>
      </c>
    </row>
    <row r="142">
      <c r="A142" s="135" t="inlineStr">
        <is>
          <t>4.9.3</t>
        </is>
      </c>
      <c r="B142" s="136" t="inlineStr">
        <is>
          <t>SLC文档汇编（F01-04，按功能·初稿随开发滚动AI反生成、定稿见7.1）</t>
        </is>
      </c>
      <c r="C142" s="135" t="n">
        <v>3</v>
      </c>
      <c r="D142" s="136" t="n"/>
      <c r="E142" s="135" t="inlineStr">
        <is>
          <t>Mandy</t>
        </is>
      </c>
      <c r="F142" s="148" t="n">
        <v>46332</v>
      </c>
      <c r="G142" s="148" t="n">
        <v>46332</v>
      </c>
      <c r="H142" s="138" t="n">
        <v>1</v>
      </c>
      <c r="I142" s="139" t="n">
        <v>0.38</v>
      </c>
      <c r="J142" s="136" t="inlineStr">
        <is>
          <t>AI辅助</t>
        </is>
      </c>
      <c r="K142" s="136" t="inlineStr">
        <is>
          <t>4.9.1</t>
        </is>
      </c>
      <c r="L142" s="135" t="n"/>
      <c r="M142" s="135" t="n"/>
      <c r="N142" s="135" t="n"/>
      <c r="O142" s="135" t="n"/>
      <c r="P142" s="135" t="n"/>
      <c r="Q142" s="136" t="inlineStr">
        <is>
          <t>直估0.5·AI执行×0.75</t>
        </is>
      </c>
    </row>
    <row r="143">
      <c r="A143" s="135" t="inlineStr">
        <is>
          <t>4.9.4</t>
        </is>
      </c>
      <c r="B143" s="136" t="inlineStr">
        <is>
          <t>基准报告查询展示（前端/应用侧）</t>
        </is>
      </c>
      <c r="C143" s="135" t="n">
        <v>3</v>
      </c>
      <c r="D143" s="136" t="n"/>
      <c r="E143" s="135" t="inlineStr">
        <is>
          <t>Wade</t>
        </is>
      </c>
      <c r="F143" s="148" t="n">
        <v>46323</v>
      </c>
      <c r="G143" s="148" t="n">
        <v>46323</v>
      </c>
      <c r="H143" s="138" t="n">
        <v>1</v>
      </c>
      <c r="I143" s="139" t="n">
        <v>0.33</v>
      </c>
      <c r="J143" s="136" t="inlineStr">
        <is>
          <t>AI生成+人工审核</t>
        </is>
      </c>
      <c r="K143" s="136" t="inlineStr">
        <is>
          <t>2.2.2</t>
        </is>
      </c>
      <c r="L143" s="135" t="n"/>
      <c r="M143" s="135" t="n"/>
      <c r="N143" s="135" t="n"/>
      <c r="O143" s="135" t="n"/>
      <c r="P143" s="135" t="n"/>
      <c r="Q143" s="136" t="inlineStr">
        <is>
          <t>直估0.5·AI执行×0.65</t>
        </is>
      </c>
    </row>
    <row r="144">
      <c r="A144" s="135" t="inlineStr">
        <is>
          <t>4.9.5</t>
        </is>
      </c>
      <c r="B144" s="136" t="inlineStr">
        <is>
          <t>基准采集策略定义（数据/服务侧）</t>
        </is>
      </c>
      <c r="C144" s="135" t="n">
        <v>3</v>
      </c>
      <c r="D144" s="136" t="n"/>
      <c r="E144" s="135" t="inlineStr">
        <is>
          <t>DevB</t>
        </is>
      </c>
      <c r="F144" s="148" t="n">
        <v>46323</v>
      </c>
      <c r="G144" s="148" t="n">
        <v>46324</v>
      </c>
      <c r="H144" s="138" t="n">
        <v>2</v>
      </c>
      <c r="I144" s="139" t="n">
        <v>0.65</v>
      </c>
      <c r="J144" s="136" t="inlineStr">
        <is>
          <t>AI生成+人工审核</t>
        </is>
      </c>
      <c r="K144" s="136" t="inlineStr">
        <is>
          <t>2.2.2</t>
        </is>
      </c>
      <c r="L144" s="135" t="n"/>
      <c r="M144" s="135" t="n"/>
      <c r="N144" s="135" t="n"/>
      <c r="O144" s="135" t="n"/>
      <c r="P144" s="135" t="n"/>
      <c r="Q144" s="136" t="inlineStr">
        <is>
          <t>直估1·AI执行×0.65</t>
        </is>
      </c>
    </row>
    <row r="145">
      <c r="A145" s="135" t="inlineStr">
        <is>
          <t>4.9.6</t>
        </is>
      </c>
      <c r="B145" s="136" t="inlineStr">
        <is>
          <t>基准采集作业与存储（数据/服务侧）</t>
        </is>
      </c>
      <c r="C145" s="135" t="n">
        <v>3</v>
      </c>
      <c r="D145" s="136" t="n"/>
      <c r="E145" s="135" t="inlineStr">
        <is>
          <t>DevB</t>
        </is>
      </c>
      <c r="F145" s="148" t="n">
        <v>46324</v>
      </c>
      <c r="G145" s="148" t="n">
        <v>46325</v>
      </c>
      <c r="H145" s="138" t="n">
        <v>2</v>
      </c>
      <c r="I145" s="139" t="n">
        <v>0.98</v>
      </c>
      <c r="J145" s="136" t="inlineStr">
        <is>
          <t>AI生成+人工审核</t>
        </is>
      </c>
      <c r="K145" s="136" t="inlineStr">
        <is>
          <t>2.2.2</t>
        </is>
      </c>
      <c r="L145" s="135" t="n"/>
      <c r="M145" s="135" t="n"/>
      <c r="N145" s="135" t="n"/>
      <c r="O145" s="135" t="n"/>
      <c r="P145" s="135" t="n"/>
      <c r="Q145" s="136" t="inlineStr">
        <is>
          <t>直估1.5·AI执行×0.65</t>
        </is>
      </c>
    </row>
    <row r="146">
      <c r="A146" s="135" t="inlineStr">
        <is>
          <t>4.9.7</t>
        </is>
      </c>
      <c r="B146" s="136" t="inlineStr">
        <is>
          <t>基准报告查询展示（数据/服务侧）</t>
        </is>
      </c>
      <c r="C146" s="135" t="n">
        <v>3</v>
      </c>
      <c r="D146" s="136" t="n"/>
      <c r="E146" s="135" t="inlineStr">
        <is>
          <t>DevB</t>
        </is>
      </c>
      <c r="F146" s="148" t="n">
        <v>46325</v>
      </c>
      <c r="G146" s="148" t="n">
        <v>46325</v>
      </c>
      <c r="H146" s="138" t="n">
        <v>1</v>
      </c>
      <c r="I146" s="139" t="n">
        <v>0.16</v>
      </c>
      <c r="J146" s="136" t="inlineStr">
        <is>
          <t>AI生成+人工审核</t>
        </is>
      </c>
      <c r="K146" s="136" t="inlineStr">
        <is>
          <t>2.2.2</t>
        </is>
      </c>
      <c r="L146" s="135" t="n"/>
      <c r="M146" s="135" t="n"/>
      <c r="N146" s="135" t="n"/>
      <c r="O146" s="135" t="n"/>
      <c r="P146" s="135" t="n"/>
      <c r="Q146" s="136" t="inlineStr">
        <is>
          <t>直估0.25·AI执行×0.65</t>
        </is>
      </c>
    </row>
    <row r="147">
      <c r="A147" s="125" t="inlineStr">
        <is>
          <t>4.10</t>
        </is>
      </c>
      <c r="B147" s="126" t="inlineStr">
        <is>
          <t>F01-05 F01-05 迁移后完整性比对</t>
        </is>
      </c>
      <c r="C147" s="125" t="n">
        <v>2</v>
      </c>
      <c r="D147" s="126" t="n"/>
      <c r="E147" s="125" t="inlineStr">
        <is>
          <t>DevB/Mandy/Wade</t>
        </is>
      </c>
      <c r="F147" s="146" t="n">
        <v>46311</v>
      </c>
      <c r="G147" s="146" t="n">
        <v>46335</v>
      </c>
      <c r="H147" s="128" t="n">
        <v>17</v>
      </c>
      <c r="I147" s="129">
        <f>ROUND(SUMPRODUCT(($C$148:$C$153=3)*(LEFT($A$148:$A$153,LEN(A147)+1)=A147&amp;".")*$I$148:$I$153),2)</f>
        <v/>
      </c>
      <c r="J147" s="126" t="n"/>
      <c r="K147" s="126" t="n"/>
      <c r="L147" s="125" t="n"/>
      <c r="M147" s="125" t="n"/>
      <c r="N147" s="125" t="n"/>
      <c r="O147" s="125" t="n"/>
      <c r="P147" s="125" t="n"/>
      <c r="Q147" s="126" t="n"/>
    </row>
    <row r="148">
      <c r="A148" s="135" t="inlineStr">
        <is>
          <t>4.10.1</t>
        </is>
      </c>
      <c r="B148" s="136" t="inlineStr">
        <is>
          <t>BA：需求澄清与规则定义（F01-05）</t>
        </is>
      </c>
      <c r="C148" s="135" t="n">
        <v>3</v>
      </c>
      <c r="D148" s="136" t="n"/>
      <c r="E148" s="135" t="inlineStr">
        <is>
          <t>Mandy</t>
        </is>
      </c>
      <c r="F148" s="148" t="n">
        <v>46311</v>
      </c>
      <c r="G148" s="148" t="n">
        <v>46311</v>
      </c>
      <c r="H148" s="138" t="n">
        <v>1</v>
      </c>
      <c r="I148" s="139" t="n">
        <v>0.19</v>
      </c>
      <c r="J148" s="136" t="inlineStr">
        <is>
          <t>AI辅助</t>
        </is>
      </c>
      <c r="K148" s="136" t="inlineStr">
        <is>
          <t>2.2.2</t>
        </is>
      </c>
      <c r="L148" s="135" t="n"/>
      <c r="M148" s="135" t="n"/>
      <c r="N148" s="135" t="n"/>
      <c r="O148" s="135" t="n"/>
      <c r="P148" s="135" t="n"/>
      <c r="Q148" s="136" t="inlineStr">
        <is>
          <t>直估0.25·AI执行×0.75</t>
        </is>
      </c>
    </row>
    <row r="149">
      <c r="A149" s="135" t="inlineStr">
        <is>
          <t>4.10.2</t>
        </is>
      </c>
      <c r="B149" s="136" t="inlineStr">
        <is>
          <t>测试：用例设计与执行（F01-05·测试左移：AI用例随BA澄清先行、随CI构建持续验证）</t>
        </is>
      </c>
      <c r="C149" s="135" t="n">
        <v>3</v>
      </c>
      <c r="D149" s="136" t="n"/>
      <c r="E149" s="135" t="inlineStr">
        <is>
          <t>Mandy</t>
        </is>
      </c>
      <c r="F149" s="148" t="n">
        <v>46332</v>
      </c>
      <c r="G149" s="148" t="n">
        <v>46335</v>
      </c>
      <c r="H149" s="138" t="n">
        <v>2</v>
      </c>
      <c r="I149" s="139" t="n">
        <v>0.75</v>
      </c>
      <c r="J149" s="136" t="inlineStr">
        <is>
          <t>AI生成用例+人工审校执行</t>
        </is>
      </c>
      <c r="K149" s="136" t="inlineStr">
        <is>
          <t>4.10.1</t>
        </is>
      </c>
      <c r="L149" s="135" t="n"/>
      <c r="M149" s="135" t="n"/>
      <c r="N149" s="135" t="n"/>
      <c r="O149" s="135" t="n"/>
      <c r="P149" s="135" t="n"/>
      <c r="Q149" s="136" t="inlineStr">
        <is>
          <t>直估1.25·AI执行×0.6</t>
        </is>
      </c>
    </row>
    <row r="150">
      <c r="A150" s="135" t="inlineStr">
        <is>
          <t>4.10.3</t>
        </is>
      </c>
      <c r="B150" s="136" t="inlineStr">
        <is>
          <t>SLC文档汇编（F01-05，按功能·初稿随开发滚动AI反生成、定稿见7.1）</t>
        </is>
      </c>
      <c r="C150" s="135" t="n">
        <v>3</v>
      </c>
      <c r="D150" s="136" t="n"/>
      <c r="E150" s="135" t="inlineStr">
        <is>
          <t>Mandy</t>
        </is>
      </c>
      <c r="F150" s="148" t="n">
        <v>46335</v>
      </c>
      <c r="G150" s="148" t="n">
        <v>46335</v>
      </c>
      <c r="H150" s="138" t="n">
        <v>1</v>
      </c>
      <c r="I150" s="139" t="n">
        <v>0.38</v>
      </c>
      <c r="J150" s="136" t="inlineStr">
        <is>
          <t>AI辅助</t>
        </is>
      </c>
      <c r="K150" s="136" t="inlineStr">
        <is>
          <t>4.10.1</t>
        </is>
      </c>
      <c r="L150" s="135" t="n"/>
      <c r="M150" s="135" t="n"/>
      <c r="N150" s="135" t="n"/>
      <c r="O150" s="135" t="n"/>
      <c r="P150" s="135" t="n"/>
      <c r="Q150" s="136" t="inlineStr">
        <is>
          <t>直估0.5·AI执行×0.75</t>
        </is>
      </c>
    </row>
    <row r="151">
      <c r="A151" s="135" t="inlineStr">
        <is>
          <t>4.10.4</t>
        </is>
      </c>
      <c r="B151" s="136" t="inlineStr">
        <is>
          <t>差异报告与处理流程（前端/应用侧）</t>
        </is>
      </c>
      <c r="C151" s="135" t="n">
        <v>3</v>
      </c>
      <c r="D151" s="136" t="n"/>
      <c r="E151" s="135" t="inlineStr">
        <is>
          <t>Wade</t>
        </is>
      </c>
      <c r="F151" s="148" t="n">
        <v>46323</v>
      </c>
      <c r="G151" s="148" t="n">
        <v>46323</v>
      </c>
      <c r="H151" s="138" t="n">
        <v>1</v>
      </c>
      <c r="I151" s="139" t="n">
        <v>0.65</v>
      </c>
      <c r="J151" s="136" t="inlineStr">
        <is>
          <t>AI生成+人工审核</t>
        </is>
      </c>
      <c r="K151" s="136" t="inlineStr">
        <is>
          <t>2.2.2</t>
        </is>
      </c>
      <c r="L151" s="135" t="n"/>
      <c r="M151" s="135" t="n"/>
      <c r="N151" s="135" t="n"/>
      <c r="O151" s="135" t="n"/>
      <c r="P151" s="135" t="n"/>
      <c r="Q151" s="136" t="inlineStr">
        <is>
          <t>直估1·AI执行×0.65</t>
        </is>
      </c>
    </row>
    <row r="152">
      <c r="A152" s="135" t="inlineStr">
        <is>
          <t>4.10.5</t>
        </is>
      </c>
      <c r="B152" s="136" t="inlineStr">
        <is>
          <t>比对引擎（数据/服务侧）</t>
        </is>
      </c>
      <c r="C152" s="135" t="n">
        <v>3</v>
      </c>
      <c r="D152" s="136" t="n"/>
      <c r="E152" s="135" t="inlineStr">
        <is>
          <t>DevB</t>
        </is>
      </c>
      <c r="F152" s="148" t="n">
        <v>46325</v>
      </c>
      <c r="G152" s="148" t="n">
        <v>46328</v>
      </c>
      <c r="H152" s="138" t="n">
        <v>2</v>
      </c>
      <c r="I152" s="139" t="n">
        <v>1.3</v>
      </c>
      <c r="J152" s="136" t="inlineStr">
        <is>
          <t>AI生成+人工审核</t>
        </is>
      </c>
      <c r="K152" s="136" t="inlineStr">
        <is>
          <t>2.2.2</t>
        </is>
      </c>
      <c r="L152" s="135" t="n"/>
      <c r="M152" s="135" t="n"/>
      <c r="N152" s="135" t="n"/>
      <c r="O152" s="135" t="n"/>
      <c r="P152" s="135" t="n"/>
      <c r="Q152" s="136" t="inlineStr">
        <is>
          <t>直估2·AI执行×0.65</t>
        </is>
      </c>
    </row>
    <row r="153">
      <c r="A153" s="135" t="inlineStr">
        <is>
          <t>4.10.6</t>
        </is>
      </c>
      <c r="B153" s="136" t="inlineStr">
        <is>
          <t>差异报告与处理流程（数据/服务侧）</t>
        </is>
      </c>
      <c r="C153" s="135" t="n">
        <v>3</v>
      </c>
      <c r="D153" s="136" t="n"/>
      <c r="E153" s="135" t="inlineStr">
        <is>
          <t>DevB</t>
        </is>
      </c>
      <c r="F153" s="148" t="n">
        <v>46328</v>
      </c>
      <c r="G153" s="148" t="n">
        <v>46329</v>
      </c>
      <c r="H153" s="138" t="n">
        <v>2</v>
      </c>
      <c r="I153" s="139" t="n">
        <v>0.33</v>
      </c>
      <c r="J153" s="136" t="inlineStr">
        <is>
          <t>AI生成+人工审核</t>
        </is>
      </c>
      <c r="K153" s="136" t="inlineStr">
        <is>
          <t>2.2.2</t>
        </is>
      </c>
      <c r="L153" s="135" t="n"/>
      <c r="M153" s="135" t="n"/>
      <c r="N153" s="135" t="n"/>
      <c r="O153" s="135" t="n"/>
      <c r="P153" s="135" t="n"/>
      <c r="Q153" s="136" t="inlineStr">
        <is>
          <t>直估0.5·AI执行×0.65</t>
        </is>
      </c>
    </row>
    <row r="154">
      <c r="A154" s="125" t="inlineStr">
        <is>
          <t>4.11</t>
        </is>
      </c>
      <c r="B154" s="126" t="inlineStr">
        <is>
          <t>F02-01 F02-01 统一元数据模型</t>
        </is>
      </c>
      <c r="C154" s="125" t="n">
        <v>2</v>
      </c>
      <c r="D154" s="126" t="n"/>
      <c r="E154" s="125" t="inlineStr">
        <is>
          <t>DevB/Mandy/Wade</t>
        </is>
      </c>
      <c r="F154" s="146" t="n">
        <v>46311</v>
      </c>
      <c r="G154" s="146" t="n">
        <v>46337</v>
      </c>
      <c r="H154" s="128" t="n">
        <v>19</v>
      </c>
      <c r="I154" s="129">
        <f>ROUND(SUMPRODUCT(($C$155:$C$161=3)*(LEFT($A$155:$A$161,LEN(A154)+1)=A154&amp;".")*$I$155:$I$161),2)</f>
        <v/>
      </c>
      <c r="J154" s="126" t="n"/>
      <c r="K154" s="126" t="n"/>
      <c r="L154" s="125" t="n"/>
      <c r="M154" s="125" t="n"/>
      <c r="N154" s="125" t="n"/>
      <c r="O154" s="125" t="n"/>
      <c r="P154" s="125" t="n"/>
      <c r="Q154" s="126" t="n"/>
    </row>
    <row r="155">
      <c r="A155" s="135" t="inlineStr">
        <is>
          <t>4.11.1</t>
        </is>
      </c>
      <c r="B155" s="136" t="inlineStr">
        <is>
          <t>BA：需求澄清与规则定义（F02-01）</t>
        </is>
      </c>
      <c r="C155" s="135" t="n">
        <v>3</v>
      </c>
      <c r="D155" s="136" t="n"/>
      <c r="E155" s="135" t="inlineStr">
        <is>
          <t>Mandy</t>
        </is>
      </c>
      <c r="F155" s="148" t="n">
        <v>46311</v>
      </c>
      <c r="G155" s="148" t="n">
        <v>46314</v>
      </c>
      <c r="H155" s="138" t="n">
        <v>2</v>
      </c>
      <c r="I155" s="139" t="n">
        <v>1.31</v>
      </c>
      <c r="J155" s="136" t="inlineStr">
        <is>
          <t>AI辅助</t>
        </is>
      </c>
      <c r="K155" s="136" t="inlineStr">
        <is>
          <t>2.2.2</t>
        </is>
      </c>
      <c r="L155" s="135" t="n"/>
      <c r="M155" s="135" t="n"/>
      <c r="N155" s="135" t="n"/>
      <c r="O155" s="135" t="n"/>
      <c r="P155" s="135" t="n"/>
      <c r="Q155" s="136" t="inlineStr">
        <is>
          <t>直估1.75·AI执行×0.75</t>
        </is>
      </c>
    </row>
    <row r="156">
      <c r="A156" s="135" t="inlineStr">
        <is>
          <t>4.11.2</t>
        </is>
      </c>
      <c r="B156" s="136" t="inlineStr">
        <is>
          <t>测试：用例设计与执行（F02-01·测试左移：AI用例随BA澄清先行、随CI构建持续验证）</t>
        </is>
      </c>
      <c r="C156" s="135" t="n">
        <v>3</v>
      </c>
      <c r="D156" s="136" t="n"/>
      <c r="E156" s="135" t="inlineStr">
        <is>
          <t>Mandy</t>
        </is>
      </c>
      <c r="F156" s="148" t="n">
        <v>46335</v>
      </c>
      <c r="G156" s="148" t="n">
        <v>46336</v>
      </c>
      <c r="H156" s="138" t="n">
        <v>2</v>
      </c>
      <c r="I156" s="139" t="n">
        <v>0.75</v>
      </c>
      <c r="J156" s="136" t="inlineStr">
        <is>
          <t>AI生成用例+人工审校执行</t>
        </is>
      </c>
      <c r="K156" s="136" t="inlineStr">
        <is>
          <t>4.11.1</t>
        </is>
      </c>
      <c r="L156" s="135" t="n"/>
      <c r="M156" s="135" t="n"/>
      <c r="N156" s="135" t="n"/>
      <c r="O156" s="135" t="n"/>
      <c r="P156" s="135" t="n"/>
      <c r="Q156" s="136" t="inlineStr">
        <is>
          <t>直估1.25·AI执行×0.6</t>
        </is>
      </c>
    </row>
    <row r="157">
      <c r="A157" s="135" t="inlineStr">
        <is>
          <t>4.11.3</t>
        </is>
      </c>
      <c r="B157" s="136" t="inlineStr">
        <is>
          <t>SLC文档汇编（F02-01，按功能·初稿随开发滚动AI反生成、定稿见7.1）</t>
        </is>
      </c>
      <c r="C157" s="135" t="n">
        <v>3</v>
      </c>
      <c r="D157" s="136" t="n"/>
      <c r="E157" s="135" t="inlineStr">
        <is>
          <t>Mandy</t>
        </is>
      </c>
      <c r="F157" s="148" t="n">
        <v>46336</v>
      </c>
      <c r="G157" s="148" t="n">
        <v>46337</v>
      </c>
      <c r="H157" s="138" t="n">
        <v>2</v>
      </c>
      <c r="I157" s="139" t="n">
        <v>0.38</v>
      </c>
      <c r="J157" s="136" t="inlineStr">
        <is>
          <t>AI辅助</t>
        </is>
      </c>
      <c r="K157" s="136" t="inlineStr">
        <is>
          <t>4.11.1</t>
        </is>
      </c>
      <c r="L157" s="135" t="n"/>
      <c r="M157" s="135" t="n"/>
      <c r="N157" s="135" t="n"/>
      <c r="O157" s="135" t="n"/>
      <c r="P157" s="135" t="n"/>
      <c r="Q157" s="136" t="inlineStr">
        <is>
          <t>直估0.5·AI执行×0.75</t>
        </is>
      </c>
    </row>
    <row r="158">
      <c r="A158" s="135" t="inlineStr">
        <is>
          <t>4.11.4</t>
        </is>
      </c>
      <c r="B158" s="136" t="inlineStr">
        <is>
          <t>元数据核心表与API（前端/应用侧·含服务中间件，DevB瓶颈迁移）</t>
        </is>
      </c>
      <c r="C158" s="135" t="n">
        <v>3</v>
      </c>
      <c r="D158" s="136" t="n"/>
      <c r="E158" s="135" t="inlineStr">
        <is>
          <t>Wade</t>
        </is>
      </c>
      <c r="F158" s="148" t="n">
        <v>46323</v>
      </c>
      <c r="G158" s="148" t="n">
        <v>46325</v>
      </c>
      <c r="H158" s="138" t="n">
        <v>3</v>
      </c>
      <c r="I158" s="139" t="n">
        <v>1.3</v>
      </c>
      <c r="J158" s="136" t="inlineStr">
        <is>
          <t>AI生成+人工审核</t>
        </is>
      </c>
      <c r="K158" s="136" t="inlineStr">
        <is>
          <t>2.2.2</t>
        </is>
      </c>
      <c r="L158" s="135" t="n"/>
      <c r="M158" s="135" t="n"/>
      <c r="N158" s="135" t="n"/>
      <c r="O158" s="135" t="n"/>
      <c r="P158" s="135" t="n"/>
      <c r="Q158" s="136" t="inlineStr">
        <is>
          <t>瓶颈迁移：DevB溢出，移Wade执行；直估2·AI执行×0.65</t>
        </is>
      </c>
    </row>
    <row r="159">
      <c r="A159" s="135" t="inlineStr">
        <is>
          <t>4.11.5</t>
        </is>
      </c>
      <c r="B159" s="136" t="inlineStr">
        <is>
          <t>元数据驱动配置机制（前端/应用侧）</t>
        </is>
      </c>
      <c r="C159" s="135" t="n">
        <v>3</v>
      </c>
      <c r="D159" s="136" t="n"/>
      <c r="E159" s="135" t="inlineStr">
        <is>
          <t>Wade</t>
        </is>
      </c>
      <c r="F159" s="148" t="n">
        <v>46325</v>
      </c>
      <c r="G159" s="148" t="n">
        <v>46328</v>
      </c>
      <c r="H159" s="138" t="n">
        <v>2</v>
      </c>
      <c r="I159" s="139" t="n">
        <v>1.3</v>
      </c>
      <c r="J159" s="136" t="inlineStr">
        <is>
          <t>AI生成+人工审核</t>
        </is>
      </c>
      <c r="K159" s="136" t="inlineStr">
        <is>
          <t>2.2.2</t>
        </is>
      </c>
      <c r="L159" s="135" t="n"/>
      <c r="M159" s="135" t="n"/>
      <c r="N159" s="135" t="n"/>
      <c r="O159" s="135" t="n"/>
      <c r="P159" s="135" t="n"/>
      <c r="Q159" s="136" t="inlineStr">
        <is>
          <t>直估2·AI执行×0.65</t>
        </is>
      </c>
    </row>
    <row r="160">
      <c r="A160" s="135" t="inlineStr">
        <is>
          <t>4.11.6</t>
        </is>
      </c>
      <c r="B160" s="136" t="inlineStr">
        <is>
          <t>元数据字段体系定义（数据/服务侧）</t>
        </is>
      </c>
      <c r="C160" s="135" t="n">
        <v>3</v>
      </c>
      <c r="D160" s="136" t="n"/>
      <c r="E160" s="135" t="inlineStr">
        <is>
          <t>DevB</t>
        </is>
      </c>
      <c r="F160" s="148" t="n">
        <v>46329</v>
      </c>
      <c r="G160" s="148" t="n">
        <v>46329</v>
      </c>
      <c r="H160" s="138" t="n">
        <v>1</v>
      </c>
      <c r="I160" s="139" t="n">
        <v>0.33</v>
      </c>
      <c r="J160" s="136" t="inlineStr">
        <is>
          <t>AI生成+人工审核</t>
        </is>
      </c>
      <c r="K160" s="136" t="inlineStr">
        <is>
          <t>2.2.2</t>
        </is>
      </c>
      <c r="L160" s="135" t="n"/>
      <c r="M160" s="135" t="n"/>
      <c r="N160" s="135" t="n"/>
      <c r="O160" s="135" t="n"/>
      <c r="P160" s="135" t="n"/>
      <c r="Q160" s="136" t="inlineStr">
        <is>
          <t>直估0.5·AI执行×0.65</t>
        </is>
      </c>
    </row>
    <row r="161">
      <c r="A161" s="135" t="inlineStr">
        <is>
          <t>4.11.7</t>
        </is>
      </c>
      <c r="B161" s="136" t="inlineStr">
        <is>
          <t>元数据驱动配置机制（数据/服务侧）</t>
        </is>
      </c>
      <c r="C161" s="135" t="n">
        <v>3</v>
      </c>
      <c r="D161" s="136" t="n"/>
      <c r="E161" s="135" t="inlineStr">
        <is>
          <t>DevB</t>
        </is>
      </c>
      <c r="F161" s="148" t="n">
        <v>46329</v>
      </c>
      <c r="G161" s="148" t="n">
        <v>46329</v>
      </c>
      <c r="H161" s="138" t="n">
        <v>1</v>
      </c>
      <c r="I161" s="139" t="n">
        <v>0.33</v>
      </c>
      <c r="J161" s="136" t="inlineStr">
        <is>
          <t>AI生成+人工审核</t>
        </is>
      </c>
      <c r="K161" s="136" t="inlineStr">
        <is>
          <t>2.2.2</t>
        </is>
      </c>
      <c r="L161" s="135" t="n"/>
      <c r="M161" s="135" t="n"/>
      <c r="N161" s="135" t="n"/>
      <c r="O161" s="135" t="n"/>
      <c r="P161" s="135" t="n"/>
      <c r="Q161" s="136" t="inlineStr">
        <is>
          <t>直估0.5·AI执行×0.65</t>
        </is>
      </c>
    </row>
    <row r="162">
      <c r="A162" s="125" t="inlineStr">
        <is>
          <t>4.12</t>
        </is>
      </c>
      <c r="B162" s="126" t="inlineStr">
        <is>
          <t>F02-02 F02-02 来源系统信息绑定</t>
        </is>
      </c>
      <c r="C162" s="125" t="n">
        <v>2</v>
      </c>
      <c r="D162" s="126" t="n"/>
      <c r="E162" s="125" t="inlineStr">
        <is>
          <t>DevB/Mandy/Wade</t>
        </is>
      </c>
      <c r="F162" s="146" t="n">
        <v>46314</v>
      </c>
      <c r="G162" s="146" t="n">
        <v>46338</v>
      </c>
      <c r="H162" s="128" t="n">
        <v>19</v>
      </c>
      <c r="I162" s="129">
        <f>ROUND(SUMPRODUCT(($C$163:$C$169=3)*(LEFT($A$163:$A$169,LEN(A162)+1)=A162&amp;".")*$I$163:$I$169),2)</f>
        <v/>
      </c>
      <c r="J162" s="126" t="n"/>
      <c r="K162" s="126" t="n"/>
      <c r="L162" s="125" t="n"/>
      <c r="M162" s="125" t="n"/>
      <c r="N162" s="125" t="n"/>
      <c r="O162" s="125" t="n"/>
      <c r="P162" s="125" t="n"/>
      <c r="Q162" s="126" t="n"/>
    </row>
    <row r="163">
      <c r="A163" s="135" t="inlineStr">
        <is>
          <t>4.12.1</t>
        </is>
      </c>
      <c r="B163" s="136" t="inlineStr">
        <is>
          <t>BA：需求澄清与规则定义（F02-02）</t>
        </is>
      </c>
      <c r="C163" s="135" t="n">
        <v>3</v>
      </c>
      <c r="D163" s="136" t="n"/>
      <c r="E163" s="135" t="inlineStr">
        <is>
          <t>Mandy</t>
        </is>
      </c>
      <c r="F163" s="148" t="n">
        <v>46314</v>
      </c>
      <c r="G163" s="148" t="n">
        <v>46315</v>
      </c>
      <c r="H163" s="138" t="n">
        <v>2</v>
      </c>
      <c r="I163" s="139" t="n">
        <v>0.38</v>
      </c>
      <c r="J163" s="136" t="inlineStr">
        <is>
          <t>AI辅助</t>
        </is>
      </c>
      <c r="K163" s="136" t="inlineStr">
        <is>
          <t>2.2.2</t>
        </is>
      </c>
      <c r="L163" s="135" t="n"/>
      <c r="M163" s="135" t="n"/>
      <c r="N163" s="135" t="n"/>
      <c r="O163" s="135" t="n"/>
      <c r="P163" s="135" t="n"/>
      <c r="Q163" s="136" t="inlineStr">
        <is>
          <t>直估0.5·AI执行×0.75</t>
        </is>
      </c>
    </row>
    <row r="164">
      <c r="A164" s="135" t="inlineStr">
        <is>
          <t>4.12.2</t>
        </is>
      </c>
      <c r="B164" s="136" t="inlineStr">
        <is>
          <t>测试：用例设计与执行（F02-02·测试左移：AI用例随BA澄清先行、随CI构建持续验证）</t>
        </is>
      </c>
      <c r="C164" s="135" t="n">
        <v>3</v>
      </c>
      <c r="D164" s="136" t="n"/>
      <c r="E164" s="135" t="inlineStr">
        <is>
          <t>Mandy</t>
        </is>
      </c>
      <c r="F164" s="148" t="n">
        <v>46337</v>
      </c>
      <c r="G164" s="148" t="n">
        <v>46337</v>
      </c>
      <c r="H164" s="138" t="n">
        <v>1</v>
      </c>
      <c r="I164" s="139" t="n">
        <v>0.75</v>
      </c>
      <c r="J164" s="136" t="inlineStr">
        <is>
          <t>AI生成用例+人工审校执行</t>
        </is>
      </c>
      <c r="K164" s="136" t="inlineStr">
        <is>
          <t>4.12.1</t>
        </is>
      </c>
      <c r="L164" s="135" t="n"/>
      <c r="M164" s="135" t="n"/>
      <c r="N164" s="135" t="n"/>
      <c r="O164" s="135" t="n"/>
      <c r="P164" s="135" t="n"/>
      <c r="Q164" s="136" t="inlineStr">
        <is>
          <t>直估1.25·AI执行×0.6</t>
        </is>
      </c>
    </row>
    <row r="165">
      <c r="A165" s="135" t="inlineStr">
        <is>
          <t>4.12.3</t>
        </is>
      </c>
      <c r="B165" s="136" t="inlineStr">
        <is>
          <t>SLC文档汇编（F02-02，按功能·初稿随开发滚动AI反生成、定稿见7.1）</t>
        </is>
      </c>
      <c r="C165" s="135" t="n">
        <v>3</v>
      </c>
      <c r="D165" s="136" t="n"/>
      <c r="E165" s="135" t="inlineStr">
        <is>
          <t>Mandy</t>
        </is>
      </c>
      <c r="F165" s="148" t="n">
        <v>46337</v>
      </c>
      <c r="G165" s="148" t="n">
        <v>46338</v>
      </c>
      <c r="H165" s="138" t="n">
        <v>2</v>
      </c>
      <c r="I165" s="139" t="n">
        <v>0.38</v>
      </c>
      <c r="J165" s="136" t="inlineStr">
        <is>
          <t>AI辅助</t>
        </is>
      </c>
      <c r="K165" s="136" t="inlineStr">
        <is>
          <t>4.12.1</t>
        </is>
      </c>
      <c r="L165" s="135" t="n"/>
      <c r="M165" s="135" t="n"/>
      <c r="N165" s="135" t="n"/>
      <c r="O165" s="135" t="n"/>
      <c r="P165" s="135" t="n"/>
      <c r="Q165" s="136" t="inlineStr">
        <is>
          <t>直估0.5·AI执行×0.75</t>
        </is>
      </c>
    </row>
    <row r="166">
      <c r="A166" s="135" t="inlineStr">
        <is>
          <t>4.12.4</t>
        </is>
      </c>
      <c r="B166" s="136" t="inlineStr">
        <is>
          <t>接入时自动绑定（前端/应用侧·含服务中间件，DevB瓶颈迁移）</t>
        </is>
      </c>
      <c r="C166" s="135" t="n">
        <v>3</v>
      </c>
      <c r="D166" s="136" t="n"/>
      <c r="E166" s="135" t="inlineStr">
        <is>
          <t>Wade</t>
        </is>
      </c>
      <c r="F166" s="148" t="n">
        <v>46328</v>
      </c>
      <c r="G166" s="148" t="n">
        <v>46329</v>
      </c>
      <c r="H166" s="138" t="n">
        <v>2</v>
      </c>
      <c r="I166" s="139" t="n">
        <v>0.65</v>
      </c>
      <c r="J166" s="136" t="inlineStr">
        <is>
          <t>AI生成+人工审核</t>
        </is>
      </c>
      <c r="K166" s="136" t="inlineStr">
        <is>
          <t>2.2.2</t>
        </is>
      </c>
      <c r="L166" s="135" t="n"/>
      <c r="M166" s="135" t="n"/>
      <c r="N166" s="135" t="n"/>
      <c r="O166" s="135" t="n"/>
      <c r="P166" s="135" t="n"/>
      <c r="Q166" s="136" t="inlineStr">
        <is>
          <t>瓶颈迁移：DevB溢出，移Wade执行；直估1·AI执行×0.65</t>
        </is>
      </c>
    </row>
    <row r="167">
      <c r="A167" s="135" t="inlineStr">
        <is>
          <t>4.12.5</t>
        </is>
      </c>
      <c r="B167" s="136" t="inlineStr">
        <is>
          <t>按来源检索与统计（前端/应用侧）</t>
        </is>
      </c>
      <c r="C167" s="135" t="n">
        <v>3</v>
      </c>
      <c r="D167" s="136" t="n"/>
      <c r="E167" s="135" t="inlineStr">
        <is>
          <t>Wade</t>
        </is>
      </c>
      <c r="F167" s="148" t="n">
        <v>46329</v>
      </c>
      <c r="G167" s="148" t="n">
        <v>46329</v>
      </c>
      <c r="H167" s="138" t="n">
        <v>1</v>
      </c>
      <c r="I167" s="139" t="n">
        <v>0.65</v>
      </c>
      <c r="J167" s="136" t="inlineStr">
        <is>
          <t>AI生成+人工审核</t>
        </is>
      </c>
      <c r="K167" s="136" t="inlineStr">
        <is>
          <t>2.2.2</t>
        </is>
      </c>
      <c r="L167" s="135" t="n"/>
      <c r="M167" s="135" t="n"/>
      <c r="N167" s="135" t="n"/>
      <c r="O167" s="135" t="n"/>
      <c r="P167" s="135" t="n"/>
      <c r="Q167" s="136" t="inlineStr">
        <is>
          <t>直估1·AI执行×0.65</t>
        </is>
      </c>
    </row>
    <row r="168">
      <c r="A168" s="135" t="inlineStr">
        <is>
          <t>4.12.6</t>
        </is>
      </c>
      <c r="B168" s="136" t="inlineStr">
        <is>
          <t>绑定规则与批次属性（数据/服务侧）</t>
        </is>
      </c>
      <c r="C168" s="135" t="n">
        <v>3</v>
      </c>
      <c r="D168" s="136" t="n"/>
      <c r="E168" s="135" t="inlineStr">
        <is>
          <t>DevB</t>
        </is>
      </c>
      <c r="F168" s="148" t="n">
        <v>46329</v>
      </c>
      <c r="G168" s="148" t="n">
        <v>46330</v>
      </c>
      <c r="H168" s="138" t="n">
        <v>2</v>
      </c>
      <c r="I168" s="139" t="n">
        <v>0.49</v>
      </c>
      <c r="J168" s="136" t="inlineStr">
        <is>
          <t>AI生成+人工审核</t>
        </is>
      </c>
      <c r="K168" s="136" t="inlineStr">
        <is>
          <t>2.2.2</t>
        </is>
      </c>
      <c r="L168" s="135" t="n"/>
      <c r="M168" s="135" t="n"/>
      <c r="N168" s="135" t="n"/>
      <c r="O168" s="135" t="n"/>
      <c r="P168" s="135" t="n"/>
      <c r="Q168" s="136" t="inlineStr">
        <is>
          <t>直估0.75·AI执行×0.65</t>
        </is>
      </c>
    </row>
    <row r="169">
      <c r="A169" s="135" t="inlineStr">
        <is>
          <t>4.12.7</t>
        </is>
      </c>
      <c r="B169" s="136" t="inlineStr">
        <is>
          <t>按来源检索与统计（数据/服务侧）</t>
        </is>
      </c>
      <c r="C169" s="135" t="n">
        <v>3</v>
      </c>
      <c r="D169" s="136" t="n"/>
      <c r="E169" s="135" t="inlineStr">
        <is>
          <t>DevB</t>
        </is>
      </c>
      <c r="F169" s="148" t="n">
        <v>46330</v>
      </c>
      <c r="G169" s="148" t="n">
        <v>46330</v>
      </c>
      <c r="H169" s="138" t="n">
        <v>1</v>
      </c>
      <c r="I169" s="139" t="n">
        <v>0.33</v>
      </c>
      <c r="J169" s="136" t="inlineStr">
        <is>
          <t>AI生成+人工审核</t>
        </is>
      </c>
      <c r="K169" s="136" t="inlineStr">
        <is>
          <t>2.2.2</t>
        </is>
      </c>
      <c r="L169" s="135" t="n"/>
      <c r="M169" s="135" t="n"/>
      <c r="N169" s="135" t="n"/>
      <c r="O169" s="135" t="n"/>
      <c r="P169" s="135" t="n"/>
      <c r="Q169" s="136" t="inlineStr">
        <is>
          <t>直估0.5·AI执行×0.65</t>
        </is>
      </c>
    </row>
    <row r="170">
      <c r="A170" s="125" t="inlineStr">
        <is>
          <t>4.13</t>
        </is>
      </c>
      <c r="B170" s="126" t="inlineStr">
        <is>
          <t>4.13 测试数据与MVP评审</t>
        </is>
      </c>
      <c r="C170" s="125" t="n">
        <v>2</v>
      </c>
      <c r="D170" s="126" t="n"/>
      <c r="E170" s="125" t="inlineStr">
        <is>
          <t>Mandy/Wade</t>
        </is>
      </c>
      <c r="F170" s="146" t="n">
        <v>46315</v>
      </c>
      <c r="G170" s="146" t="n">
        <v>46338</v>
      </c>
      <c r="H170" s="128" t="n">
        <v>18</v>
      </c>
      <c r="I170" s="129">
        <f>ROUND(SUMPRODUCT(($C$171:$C$173=3)*(LEFT($A$171:$A$173,LEN(A170)+1)=A170&amp;".")*$I$171:$I$173),2)</f>
        <v/>
      </c>
      <c r="J170" s="126" t="n"/>
      <c r="K170" s="126" t="n"/>
      <c r="L170" s="125" t="n"/>
      <c r="M170" s="125" t="n"/>
      <c r="N170" s="125" t="n"/>
      <c r="O170" s="125" t="n"/>
      <c r="P170" s="125" t="n"/>
      <c r="Q170" s="126" t="n"/>
    </row>
    <row r="171">
      <c r="A171" s="135" t="inlineStr">
        <is>
          <t>4.13.1</t>
        </is>
      </c>
      <c r="B171" s="136" t="inlineStr">
        <is>
          <t>样本测试数据集准备（模拟源库表+附件样本）</t>
        </is>
      </c>
      <c r="C171" s="135" t="n">
        <v>3</v>
      </c>
      <c r="D171" s="136" t="n"/>
      <c r="E171" s="135" t="inlineStr">
        <is>
          <t>Mandy</t>
        </is>
      </c>
      <c r="F171" s="148" t="n">
        <v>46315</v>
      </c>
      <c r="G171" s="148" t="n">
        <v>46315</v>
      </c>
      <c r="H171" s="138" t="n">
        <v>1</v>
      </c>
      <c r="I171" s="139" t="n">
        <v>0.75</v>
      </c>
      <c r="J171" s="136" t="inlineStr">
        <is>
          <t>AI辅助</t>
        </is>
      </c>
      <c r="K171" s="136" t="inlineStr">
        <is>
          <t>2.3.3</t>
        </is>
      </c>
      <c r="L171" s="135" t="n"/>
      <c r="M171" s="135" t="n"/>
      <c r="N171" s="135" t="n"/>
      <c r="O171" s="135" t="n"/>
      <c r="P171" s="135" t="n"/>
      <c r="Q171" s="136" t="inlineStr">
        <is>
          <t>直估1·AI执行×0.75</t>
        </is>
      </c>
    </row>
    <row r="172">
      <c r="A172" s="135" t="inlineStr">
        <is>
          <t>4.13.2</t>
        </is>
      </c>
      <c r="B172" s="136" t="inlineStr">
        <is>
          <t>M3阶段评审支持</t>
        </is>
      </c>
      <c r="C172" s="135" t="n">
        <v>3</v>
      </c>
      <c r="D172" s="136" t="n"/>
      <c r="E172" s="135" t="inlineStr">
        <is>
          <t>Mandy</t>
        </is>
      </c>
      <c r="F172" s="148" t="n">
        <v>46338</v>
      </c>
      <c r="G172" s="148" t="n">
        <v>46338</v>
      </c>
      <c r="H172" s="138" t="n">
        <v>1</v>
      </c>
      <c r="I172" s="139" t="n">
        <v>0.5</v>
      </c>
      <c r="J172" s="136" t="inlineStr">
        <is>
          <t>人工主导</t>
        </is>
      </c>
      <c r="K172" s="136" t="n"/>
      <c r="L172" s="135" t="n"/>
      <c r="M172" s="135" t="n"/>
      <c r="N172" s="135" t="n"/>
      <c r="O172" s="135" t="n"/>
      <c r="P172" s="135" t="n"/>
      <c r="Q172" s="136" t="inlineStr">
        <is>
          <t>直估0.5·AI执行×1</t>
        </is>
      </c>
    </row>
    <row r="173">
      <c r="A173" s="130" t="inlineStr">
        <is>
          <t>4.13.3</t>
        </is>
      </c>
      <c r="B173" s="131" t="inlineStr">
        <is>
          <t>样本端到端联调◆M3（登录→导入→四层落地→任务界面可视，测试环境K8s演示）</t>
        </is>
      </c>
      <c r="C173" s="130" t="n">
        <v>3</v>
      </c>
      <c r="D173" s="131" t="inlineStr">
        <is>
          <t>M3演示记录</t>
        </is>
      </c>
      <c r="E173" s="130" t="inlineStr">
        <is>
          <t>Wade</t>
        </is>
      </c>
      <c r="F173" s="147" t="n">
        <v>46331</v>
      </c>
      <c r="G173" s="147" t="n">
        <v>46331</v>
      </c>
      <c r="H173" s="133" t="n">
        <v>1</v>
      </c>
      <c r="I173" s="134" t="n">
        <v>1</v>
      </c>
      <c r="J173" s="131" t="inlineStr">
        <is>
          <t>人工主导</t>
        </is>
      </c>
      <c r="K173" s="131" t="inlineStr">
        <is>
          <t>4.1.5,4.2.5,4.3.6,4.4.4,4.5.4,4.6.9,4.7.5,4.8.6,4.9.4,4.10.4,4.11.5,4.12.5,4.1.7,4.2.6,4.3.8,4.4.6,4.5.6,4.6.16,4.7.9,4.8.10,4.9.7,4.10.6,4.11.7,4.12.7,3.4.6</t>
        </is>
      </c>
      <c r="L173" s="130" t="n"/>
      <c r="M173" s="130" t="n"/>
      <c r="N173" s="130" t="n"/>
      <c r="O173" s="130" t="n"/>
      <c r="P173" s="130" t="n"/>
      <c r="Q173" s="131" t="inlineStr">
        <is>
          <t>直估1·AI执行×1</t>
        </is>
      </c>
    </row>
    <row r="174">
      <c r="A174" s="120" t="inlineStr">
        <is>
          <t>5</t>
        </is>
      </c>
      <c r="B174" s="121" t="inlineStr">
        <is>
          <t>开发二·批次2：处置F03+安全F04+检索F05+审计F06+全局非功能N3</t>
        </is>
      </c>
      <c r="C174" s="120" t="n">
        <v>1</v>
      </c>
      <c r="D174" s="121" t="n"/>
      <c r="E174" s="120" t="inlineStr">
        <is>
          <t>DevB/Mandy/Wade</t>
        </is>
      </c>
      <c r="F174" s="145" t="n">
        <v>46330</v>
      </c>
      <c r="G174" s="145" t="n">
        <v>46378</v>
      </c>
      <c r="H174" s="123" t="n">
        <v>35</v>
      </c>
      <c r="I174" s="124">
        <f>ROUND(SUMPRODUCT(($C$175:$C$281=3)*(LEFT($A$175:$A$281,LEN(A174)+1)=A174&amp;".")*$I$175:$I$281),2)</f>
        <v/>
      </c>
      <c r="J174" s="121" t="n"/>
      <c r="K174" s="121" t="n"/>
      <c r="L174" s="120" t="n"/>
      <c r="M174" s="120" t="n"/>
      <c r="N174" s="120" t="n"/>
      <c r="O174" s="120" t="n"/>
      <c r="P174" s="120" t="n"/>
      <c r="Q174" s="121" t="n"/>
    </row>
    <row r="175">
      <c r="A175" s="125" t="inlineStr">
        <is>
          <t>5.1</t>
        </is>
      </c>
      <c r="B175" s="126" t="inlineStr">
        <is>
          <t>F03-01 F03-01 保留期限到期自动删除</t>
        </is>
      </c>
      <c r="C175" s="125" t="n">
        <v>2</v>
      </c>
      <c r="D175" s="126" t="n"/>
      <c r="E175" s="125" t="inlineStr">
        <is>
          <t>DevB/Mandy/Wade</t>
        </is>
      </c>
      <c r="F175" s="146" t="n">
        <v>46330</v>
      </c>
      <c r="G175" s="146" t="n">
        <v>46345</v>
      </c>
      <c r="H175" s="128" t="n">
        <v>12</v>
      </c>
      <c r="I175" s="129">
        <f>ROUND(SUMPRODUCT(($C$176:$C$183=3)*(LEFT($A$176:$A$183,LEN(A175)+1)=A175&amp;".")*$I$176:$I$183),2)</f>
        <v/>
      </c>
      <c r="J175" s="126" t="n"/>
      <c r="K175" s="126" t="n"/>
      <c r="L175" s="125" t="n"/>
      <c r="M175" s="125" t="n"/>
      <c r="N175" s="125" t="n"/>
      <c r="O175" s="125" t="n"/>
      <c r="P175" s="125" t="n"/>
      <c r="Q175" s="126" t="n"/>
    </row>
    <row r="176">
      <c r="A176" s="135" t="inlineStr">
        <is>
          <t>5.1.1</t>
        </is>
      </c>
      <c r="B176" s="136" t="inlineStr">
        <is>
          <t>BA：需求澄清与规则定义（F03-01）</t>
        </is>
      </c>
      <c r="C176" s="135" t="n">
        <v>3</v>
      </c>
      <c r="D176" s="136" t="n"/>
      <c r="E176" s="135" t="inlineStr">
        <is>
          <t>Mandy</t>
        </is>
      </c>
      <c r="F176" s="148" t="n">
        <v>46338</v>
      </c>
      <c r="G176" s="148" t="n">
        <v>46339</v>
      </c>
      <c r="H176" s="138" t="n">
        <v>2</v>
      </c>
      <c r="I176" s="139" t="n">
        <v>0.75</v>
      </c>
      <c r="J176" s="136" t="inlineStr">
        <is>
          <t>AI辅助</t>
        </is>
      </c>
      <c r="K176" s="136" t="inlineStr">
        <is>
          <t>2.2.2</t>
        </is>
      </c>
      <c r="L176" s="135" t="n"/>
      <c r="M176" s="135" t="n"/>
      <c r="N176" s="135" t="n"/>
      <c r="O176" s="135" t="n"/>
      <c r="P176" s="135" t="n"/>
      <c r="Q176" s="136" t="inlineStr">
        <is>
          <t>直估1·AI执行×0.75</t>
        </is>
      </c>
    </row>
    <row r="177">
      <c r="A177" s="135" t="inlineStr">
        <is>
          <t>5.1.2</t>
        </is>
      </c>
      <c r="B177" s="136" t="inlineStr">
        <is>
          <t>测试：用例设计与执行（F03-01·测试左移：AI用例随BA澄清先行、随CI构建持续验证）</t>
        </is>
      </c>
      <c r="C177" s="135" t="n">
        <v>3</v>
      </c>
      <c r="D177" s="136" t="n"/>
      <c r="E177" s="135" t="inlineStr">
        <is>
          <t>Mandy</t>
        </is>
      </c>
      <c r="F177" s="148" t="n">
        <v>46343</v>
      </c>
      <c r="G177" s="148" t="n">
        <v>46344</v>
      </c>
      <c r="H177" s="138" t="n">
        <v>2</v>
      </c>
      <c r="I177" s="139" t="n">
        <v>1.2</v>
      </c>
      <c r="J177" s="136" t="inlineStr">
        <is>
          <t>AI生成用例+人工审校执行</t>
        </is>
      </c>
      <c r="K177" s="136" t="inlineStr">
        <is>
          <t>5.1.1</t>
        </is>
      </c>
      <c r="L177" s="135" t="n"/>
      <c r="M177" s="135" t="n"/>
      <c r="N177" s="135" t="n"/>
      <c r="O177" s="135" t="n"/>
      <c r="P177" s="135" t="n"/>
      <c r="Q177" s="136" t="inlineStr">
        <is>
          <t>直估2·AI执行×0.6</t>
        </is>
      </c>
    </row>
    <row r="178">
      <c r="A178" s="135" t="inlineStr">
        <is>
          <t>5.1.3</t>
        </is>
      </c>
      <c r="B178" s="136" t="inlineStr">
        <is>
          <t>SLC文档汇编（F03-01，按功能·初稿随开发滚动AI反生成、定稿见7.1）</t>
        </is>
      </c>
      <c r="C178" s="135" t="n">
        <v>3</v>
      </c>
      <c r="D178" s="136" t="n"/>
      <c r="E178" s="135" t="inlineStr">
        <is>
          <t>Mandy</t>
        </is>
      </c>
      <c r="F178" s="148" t="n">
        <v>46344</v>
      </c>
      <c r="G178" s="148" t="n">
        <v>46345</v>
      </c>
      <c r="H178" s="138" t="n">
        <v>2</v>
      </c>
      <c r="I178" s="139" t="n">
        <v>0.38</v>
      </c>
      <c r="J178" s="136" t="inlineStr">
        <is>
          <t>AI辅助</t>
        </is>
      </c>
      <c r="K178" s="136" t="inlineStr">
        <is>
          <t>5.1.1</t>
        </is>
      </c>
      <c r="L178" s="135" t="n"/>
      <c r="M178" s="135" t="n"/>
      <c r="N178" s="135" t="n"/>
      <c r="O178" s="135" t="n"/>
      <c r="P178" s="135" t="n"/>
      <c r="Q178" s="136" t="inlineStr">
        <is>
          <t>直估0.5·AI执行×0.75</t>
        </is>
      </c>
    </row>
    <row r="179">
      <c r="A179" s="135" t="inlineStr">
        <is>
          <t>5.1.4</t>
        </is>
      </c>
      <c r="B179" s="136" t="inlineStr">
        <is>
          <t>保留策略配置（前端/应用侧）</t>
        </is>
      </c>
      <c r="C179" s="135" t="n">
        <v>3</v>
      </c>
      <c r="D179" s="136" t="n"/>
      <c r="E179" s="135" t="inlineStr">
        <is>
          <t>Wade</t>
        </is>
      </c>
      <c r="F179" s="148" t="n">
        <v>46332</v>
      </c>
      <c r="G179" s="148" t="n">
        <v>46332</v>
      </c>
      <c r="H179" s="138" t="n">
        <v>1</v>
      </c>
      <c r="I179" s="139" t="n">
        <v>0.65</v>
      </c>
      <c r="J179" s="136" t="inlineStr">
        <is>
          <t>AI生成+人工审核</t>
        </is>
      </c>
      <c r="K179" s="136" t="inlineStr">
        <is>
          <t>2.2.2</t>
        </is>
      </c>
      <c r="L179" s="135" t="n"/>
      <c r="M179" s="135" t="n"/>
      <c r="N179" s="135" t="n"/>
      <c r="O179" s="135" t="n"/>
      <c r="P179" s="135" t="n"/>
      <c r="Q179" s="136" t="inlineStr">
        <is>
          <t>直估1·AI执行×0.65</t>
        </is>
      </c>
    </row>
    <row r="180">
      <c r="A180" s="135" t="inlineStr">
        <is>
          <t>5.1.5</t>
        </is>
      </c>
      <c r="B180" s="136" t="inlineStr">
        <is>
          <t>处置计划审批与台账（前端/应用侧）</t>
        </is>
      </c>
      <c r="C180" s="135" t="n">
        <v>3</v>
      </c>
      <c r="D180" s="136" t="n"/>
      <c r="E180" s="135" t="inlineStr">
        <is>
          <t>Wade</t>
        </is>
      </c>
      <c r="F180" s="148" t="n">
        <v>46332</v>
      </c>
      <c r="G180" s="148" t="n">
        <v>46335</v>
      </c>
      <c r="H180" s="138" t="n">
        <v>2</v>
      </c>
      <c r="I180" s="139" t="n">
        <v>0.98</v>
      </c>
      <c r="J180" s="136" t="inlineStr">
        <is>
          <t>AI生成+人工审核</t>
        </is>
      </c>
      <c r="K180" s="136" t="inlineStr">
        <is>
          <t>2.2.2</t>
        </is>
      </c>
      <c r="L180" s="135" t="n"/>
      <c r="M180" s="135" t="n"/>
      <c r="N180" s="135" t="n"/>
      <c r="O180" s="135" t="n"/>
      <c r="P180" s="135" t="n"/>
      <c r="Q180" s="136" t="inlineStr">
        <is>
          <t>直估1.5·AI执行×0.65</t>
        </is>
      </c>
    </row>
    <row r="181">
      <c r="A181" s="135" t="inlineStr">
        <is>
          <t>5.1.6</t>
        </is>
      </c>
      <c r="B181" s="136" t="inlineStr">
        <is>
          <t>保留策略配置（数据/服务侧）</t>
        </is>
      </c>
      <c r="C181" s="135" t="n">
        <v>3</v>
      </c>
      <c r="D181" s="136" t="n"/>
      <c r="E181" s="135" t="inlineStr">
        <is>
          <t>DevB</t>
        </is>
      </c>
      <c r="F181" s="148" t="n">
        <v>46330</v>
      </c>
      <c r="G181" s="148" t="n">
        <v>46331</v>
      </c>
      <c r="H181" s="138" t="n">
        <v>2</v>
      </c>
      <c r="I181" s="139" t="n">
        <v>0.33</v>
      </c>
      <c r="J181" s="136" t="inlineStr">
        <is>
          <t>AI生成+人工审核</t>
        </is>
      </c>
      <c r="K181" s="136" t="inlineStr">
        <is>
          <t>2.2.2</t>
        </is>
      </c>
      <c r="L181" s="135" t="n"/>
      <c r="M181" s="135" t="n"/>
      <c r="N181" s="135" t="n"/>
      <c r="O181" s="135" t="n"/>
      <c r="P181" s="135" t="n"/>
      <c r="Q181" s="136" t="inlineStr">
        <is>
          <t>直估0.5·AI执行×0.65</t>
        </is>
      </c>
    </row>
    <row r="182">
      <c r="A182" s="135" t="inlineStr">
        <is>
          <t>5.1.7</t>
        </is>
      </c>
      <c r="B182" s="136" t="inlineStr">
        <is>
          <t>处置引擎（数据/服务侧）</t>
        </is>
      </c>
      <c r="C182" s="135" t="n">
        <v>3</v>
      </c>
      <c r="D182" s="136" t="n"/>
      <c r="E182" s="135" t="inlineStr">
        <is>
          <t>DevB</t>
        </is>
      </c>
      <c r="F182" s="148" t="n">
        <v>46331</v>
      </c>
      <c r="G182" s="148" t="n">
        <v>46332</v>
      </c>
      <c r="H182" s="138" t="n">
        <v>2</v>
      </c>
      <c r="I182" s="139" t="n">
        <v>1.95</v>
      </c>
      <c r="J182" s="136" t="inlineStr">
        <is>
          <t>AI生成+人工审核</t>
        </is>
      </c>
      <c r="K182" s="136" t="inlineStr">
        <is>
          <t>2.2.2</t>
        </is>
      </c>
      <c r="L182" s="135" t="n"/>
      <c r="M182" s="135" t="n"/>
      <c r="N182" s="135" t="n"/>
      <c r="O182" s="135" t="n"/>
      <c r="P182" s="135" t="n"/>
      <c r="Q182" s="136" t="inlineStr">
        <is>
          <t>直估3·AI执行×0.65</t>
        </is>
      </c>
    </row>
    <row r="183">
      <c r="A183" s="135" t="inlineStr">
        <is>
          <t>5.1.8</t>
        </is>
      </c>
      <c r="B183" s="136" t="inlineStr">
        <is>
          <t>处置计划审批与台账（数据/服务侧）</t>
        </is>
      </c>
      <c r="C183" s="135" t="n">
        <v>3</v>
      </c>
      <c r="D183" s="136" t="n"/>
      <c r="E183" s="135" t="inlineStr">
        <is>
          <t>DevB</t>
        </is>
      </c>
      <c r="F183" s="148" t="n">
        <v>46332</v>
      </c>
      <c r="G183" s="148" t="n">
        <v>46335</v>
      </c>
      <c r="H183" s="138" t="n">
        <v>2</v>
      </c>
      <c r="I183" s="139" t="n">
        <v>0.33</v>
      </c>
      <c r="J183" s="136" t="inlineStr">
        <is>
          <t>AI生成+人工审核</t>
        </is>
      </c>
      <c r="K183" s="136" t="inlineStr">
        <is>
          <t>2.2.2</t>
        </is>
      </c>
      <c r="L183" s="135" t="n"/>
      <c r="M183" s="135" t="n"/>
      <c r="N183" s="135" t="n"/>
      <c r="O183" s="135" t="n"/>
      <c r="P183" s="135" t="n"/>
      <c r="Q183" s="136" t="inlineStr">
        <is>
          <t>直估0.5·AI执行×0.65</t>
        </is>
      </c>
    </row>
    <row r="184">
      <c r="A184" s="125" t="inlineStr">
        <is>
          <t>5.2</t>
        </is>
      </c>
      <c r="B184" s="126" t="inlineStr">
        <is>
          <t>F03-02 F03-02 Legal Hold 冻结</t>
        </is>
      </c>
      <c r="C184" s="125" t="n">
        <v>2</v>
      </c>
      <c r="D184" s="126" t="n"/>
      <c r="E184" s="125" t="inlineStr">
        <is>
          <t>DevB/Mandy/Wade</t>
        </is>
      </c>
      <c r="F184" s="146" t="n">
        <v>46335</v>
      </c>
      <c r="G184" s="146" t="n">
        <v>46346</v>
      </c>
      <c r="H184" s="128" t="n">
        <v>10</v>
      </c>
      <c r="I184" s="129">
        <f>ROUND(SUMPRODUCT(($C$185:$C$192=3)*(LEFT($A$185:$A$192,LEN(A184)+1)=A184&amp;".")*$I$185:$I$192),2)</f>
        <v/>
      </c>
      <c r="J184" s="126" t="n"/>
      <c r="K184" s="126" t="n"/>
      <c r="L184" s="125" t="n"/>
      <c r="M184" s="125" t="n"/>
      <c r="N184" s="125" t="n"/>
      <c r="O184" s="125" t="n"/>
      <c r="P184" s="125" t="n"/>
      <c r="Q184" s="126" t="n"/>
    </row>
    <row r="185">
      <c r="A185" s="135" t="inlineStr">
        <is>
          <t>5.2.1</t>
        </is>
      </c>
      <c r="B185" s="136" t="inlineStr">
        <is>
          <t>BA：需求澄清与规则定义（F03-02）</t>
        </is>
      </c>
      <c r="C185" s="135" t="n">
        <v>3</v>
      </c>
      <c r="D185" s="136" t="n"/>
      <c r="E185" s="135" t="inlineStr">
        <is>
          <t>Mandy</t>
        </is>
      </c>
      <c r="F185" s="148" t="n">
        <v>46339</v>
      </c>
      <c r="G185" s="148" t="n">
        <v>46342</v>
      </c>
      <c r="H185" s="138" t="n">
        <v>2</v>
      </c>
      <c r="I185" s="139" t="n">
        <v>0.5600000000000001</v>
      </c>
      <c r="J185" s="136" t="inlineStr">
        <is>
          <t>AI辅助</t>
        </is>
      </c>
      <c r="K185" s="136" t="inlineStr">
        <is>
          <t>2.2.2</t>
        </is>
      </c>
      <c r="L185" s="135" t="n"/>
      <c r="M185" s="135" t="n"/>
      <c r="N185" s="135" t="n"/>
      <c r="O185" s="135" t="n"/>
      <c r="P185" s="135" t="n"/>
      <c r="Q185" s="136" t="inlineStr">
        <is>
          <t>直估0.75·AI执行×0.75</t>
        </is>
      </c>
    </row>
    <row r="186">
      <c r="A186" s="135" t="inlineStr">
        <is>
          <t>5.2.2</t>
        </is>
      </c>
      <c r="B186" s="136" t="inlineStr">
        <is>
          <t>测试：用例设计与执行（F03-02·测试左移：AI用例随BA澄清先行、随CI构建持续验证）</t>
        </is>
      </c>
      <c r="C186" s="135" t="n">
        <v>3</v>
      </c>
      <c r="D186" s="136" t="n"/>
      <c r="E186" s="135" t="inlineStr">
        <is>
          <t>Mandy</t>
        </is>
      </c>
      <c r="F186" s="148" t="n">
        <v>46345</v>
      </c>
      <c r="G186" s="148" t="n">
        <v>46346</v>
      </c>
      <c r="H186" s="138" t="n">
        <v>2</v>
      </c>
      <c r="I186" s="139" t="n">
        <v>0.9</v>
      </c>
      <c r="J186" s="136" t="inlineStr">
        <is>
          <t>AI生成用例+人工审校执行</t>
        </is>
      </c>
      <c r="K186" s="136" t="inlineStr">
        <is>
          <t>5.2.1</t>
        </is>
      </c>
      <c r="L186" s="135" t="n"/>
      <c r="M186" s="135" t="n"/>
      <c r="N186" s="135" t="n"/>
      <c r="O186" s="135" t="n"/>
      <c r="P186" s="135" t="n"/>
      <c r="Q186" s="136" t="inlineStr">
        <is>
          <t>直估1.5·AI执行×0.6</t>
        </is>
      </c>
    </row>
    <row r="187">
      <c r="A187" s="135" t="inlineStr">
        <is>
          <t>5.2.3</t>
        </is>
      </c>
      <c r="B187" s="136" t="inlineStr">
        <is>
          <t>SLC文档汇编（F03-02，按功能·初稿随开发滚动AI反生成、定稿见7.1）</t>
        </is>
      </c>
      <c r="C187" s="135" t="n">
        <v>3</v>
      </c>
      <c r="D187" s="136" t="n"/>
      <c r="E187" s="135" t="inlineStr">
        <is>
          <t>Mandy</t>
        </is>
      </c>
      <c r="F187" s="148" t="n">
        <v>46346</v>
      </c>
      <c r="G187" s="148" t="n">
        <v>46346</v>
      </c>
      <c r="H187" s="138" t="n">
        <v>1</v>
      </c>
      <c r="I187" s="139" t="n">
        <v>0.38</v>
      </c>
      <c r="J187" s="136" t="inlineStr">
        <is>
          <t>AI辅助</t>
        </is>
      </c>
      <c r="K187" s="136" t="inlineStr">
        <is>
          <t>5.2.1</t>
        </is>
      </c>
      <c r="L187" s="135" t="n"/>
      <c r="M187" s="135" t="n"/>
      <c r="N187" s="135" t="n"/>
      <c r="O187" s="135" t="n"/>
      <c r="P187" s="135" t="n"/>
      <c r="Q187" s="136" t="inlineStr">
        <is>
          <t>直估0.5·AI执行×0.75</t>
        </is>
      </c>
    </row>
    <row r="188">
      <c r="A188" s="135" t="inlineStr">
        <is>
          <t>5.2.4</t>
        </is>
      </c>
      <c r="B188" s="136" t="inlineStr">
        <is>
          <t>Hold申请与审批流程（前端/应用侧）</t>
        </is>
      </c>
      <c r="C188" s="135" t="n">
        <v>3</v>
      </c>
      <c r="D188" s="136" t="n"/>
      <c r="E188" s="135" t="inlineStr">
        <is>
          <t>Wade</t>
        </is>
      </c>
      <c r="F188" s="148" t="n">
        <v>46335</v>
      </c>
      <c r="G188" s="148" t="n">
        <v>46336</v>
      </c>
      <c r="H188" s="138" t="n">
        <v>2</v>
      </c>
      <c r="I188" s="139" t="n">
        <v>0.65</v>
      </c>
      <c r="J188" s="136" t="inlineStr">
        <is>
          <t>AI生成+人工审核</t>
        </is>
      </c>
      <c r="K188" s="136" t="inlineStr">
        <is>
          <t>2.2.2</t>
        </is>
      </c>
      <c r="L188" s="135" t="n"/>
      <c r="M188" s="135" t="n"/>
      <c r="N188" s="135" t="n"/>
      <c r="O188" s="135" t="n"/>
      <c r="P188" s="135" t="n"/>
      <c r="Q188" s="136" t="inlineStr">
        <is>
          <t>直估1·AI执行×0.65</t>
        </is>
      </c>
    </row>
    <row r="189">
      <c r="A189" s="135" t="inlineStr">
        <is>
          <t>5.2.5</t>
        </is>
      </c>
      <c r="B189" s="136" t="inlineStr">
        <is>
          <t>Hold生效与解除实现（前端/应用侧·含服务中间件，DevB瓶颈迁移）</t>
        </is>
      </c>
      <c r="C189" s="135" t="n">
        <v>3</v>
      </c>
      <c r="D189" s="136" t="n"/>
      <c r="E189" s="135" t="inlineStr">
        <is>
          <t>Wade</t>
        </is>
      </c>
      <c r="F189" s="148" t="n">
        <v>46336</v>
      </c>
      <c r="G189" s="148" t="n">
        <v>46337</v>
      </c>
      <c r="H189" s="138" t="n">
        <v>2</v>
      </c>
      <c r="I189" s="139" t="n">
        <v>0.98</v>
      </c>
      <c r="J189" s="136" t="inlineStr">
        <is>
          <t>AI生成+人工审核</t>
        </is>
      </c>
      <c r="K189" s="136" t="inlineStr">
        <is>
          <t>2.2.2</t>
        </is>
      </c>
      <c r="L189" s="135" t="n"/>
      <c r="M189" s="135" t="n"/>
      <c r="N189" s="135" t="n"/>
      <c r="O189" s="135" t="n"/>
      <c r="P189" s="135" t="n"/>
      <c r="Q189" s="136" t="inlineStr">
        <is>
          <t>瓶颈迁移：DevB溢出，移Wade执行；直估1.5·AI执行×0.65</t>
        </is>
      </c>
    </row>
    <row r="190">
      <c r="A190" s="135" t="inlineStr">
        <is>
          <t>5.2.6</t>
        </is>
      </c>
      <c r="B190" s="136" t="inlineStr">
        <is>
          <t>Hold清单管理与提醒（前端/应用侧）</t>
        </is>
      </c>
      <c r="C190" s="135" t="n">
        <v>3</v>
      </c>
      <c r="D190" s="136" t="n"/>
      <c r="E190" s="135" t="inlineStr">
        <is>
          <t>Wade</t>
        </is>
      </c>
      <c r="F190" s="148" t="n">
        <v>46337</v>
      </c>
      <c r="G190" s="148" t="n">
        <v>46337</v>
      </c>
      <c r="H190" s="138" t="n">
        <v>1</v>
      </c>
      <c r="I190" s="139" t="n">
        <v>0.33</v>
      </c>
      <c r="J190" s="136" t="inlineStr">
        <is>
          <t>AI生成+人工审核</t>
        </is>
      </c>
      <c r="K190" s="136" t="inlineStr">
        <is>
          <t>2.2.2</t>
        </is>
      </c>
      <c r="L190" s="135" t="n"/>
      <c r="M190" s="135" t="n"/>
      <c r="N190" s="135" t="n"/>
      <c r="O190" s="135" t="n"/>
      <c r="P190" s="135" t="n"/>
      <c r="Q190" s="136" t="inlineStr">
        <is>
          <t>直估0.5·AI执行×0.65</t>
        </is>
      </c>
    </row>
    <row r="191">
      <c r="A191" s="135" t="inlineStr">
        <is>
          <t>5.2.7</t>
        </is>
      </c>
      <c r="B191" s="136" t="inlineStr">
        <is>
          <t>Hold申请与审批流程（数据/服务侧）</t>
        </is>
      </c>
      <c r="C191" s="135" t="n">
        <v>3</v>
      </c>
      <c r="D191" s="136" t="n"/>
      <c r="E191" s="135" t="inlineStr">
        <is>
          <t>DevB</t>
        </is>
      </c>
      <c r="F191" s="148" t="n">
        <v>46335</v>
      </c>
      <c r="G191" s="148" t="n">
        <v>46335</v>
      </c>
      <c r="H191" s="138" t="n">
        <v>1</v>
      </c>
      <c r="I191" s="139" t="n">
        <v>0.16</v>
      </c>
      <c r="J191" s="136" t="inlineStr">
        <is>
          <t>AI生成+人工审核</t>
        </is>
      </c>
      <c r="K191" s="136" t="inlineStr">
        <is>
          <t>2.2.2</t>
        </is>
      </c>
      <c r="L191" s="135" t="n"/>
      <c r="M191" s="135" t="n"/>
      <c r="N191" s="135" t="n"/>
      <c r="O191" s="135" t="n"/>
      <c r="P191" s="135" t="n"/>
      <c r="Q191" s="136" t="inlineStr">
        <is>
          <t>直估0.25·AI执行×0.65</t>
        </is>
      </c>
    </row>
    <row r="192">
      <c r="A192" s="135" t="inlineStr">
        <is>
          <t>5.2.8</t>
        </is>
      </c>
      <c r="B192" s="136" t="inlineStr">
        <is>
          <t>Hold清单管理与提醒（数据/服务侧）</t>
        </is>
      </c>
      <c r="C192" s="135" t="n">
        <v>3</v>
      </c>
      <c r="D192" s="136" t="n"/>
      <c r="E192" s="135" t="inlineStr">
        <is>
          <t>DevB</t>
        </is>
      </c>
      <c r="F192" s="148" t="n">
        <v>46335</v>
      </c>
      <c r="G192" s="148" t="n">
        <v>46335</v>
      </c>
      <c r="H192" s="138" t="n">
        <v>1</v>
      </c>
      <c r="I192" s="139" t="n">
        <v>0.16</v>
      </c>
      <c r="J192" s="136" t="inlineStr">
        <is>
          <t>AI生成+人工审核</t>
        </is>
      </c>
      <c r="K192" s="136" t="inlineStr">
        <is>
          <t>2.2.2</t>
        </is>
      </c>
      <c r="L192" s="135" t="n"/>
      <c r="M192" s="135" t="n"/>
      <c r="N192" s="135" t="n"/>
      <c r="O192" s="135" t="n"/>
      <c r="P192" s="135" t="n"/>
      <c r="Q192" s="136" t="inlineStr">
        <is>
          <t>直估0.25·AI执行×0.65</t>
        </is>
      </c>
    </row>
    <row r="193">
      <c r="A193" s="125" t="inlineStr">
        <is>
          <t>5.3</t>
        </is>
      </c>
      <c r="B193" s="126" t="inlineStr">
        <is>
          <t>F04-01 F04-01 数据加密存储</t>
        </is>
      </c>
      <c r="C193" s="125" t="n">
        <v>2</v>
      </c>
      <c r="D193" s="126" t="n"/>
      <c r="E193" s="125" t="inlineStr">
        <is>
          <t>DevB/Mandy/Wade</t>
        </is>
      </c>
      <c r="F193" s="146" t="n">
        <v>46335</v>
      </c>
      <c r="G193" s="146" t="n">
        <v>46349</v>
      </c>
      <c r="H193" s="128" t="n">
        <v>11</v>
      </c>
      <c r="I193" s="129">
        <f>ROUND(SUMPRODUCT(($C$194:$C$199=3)*(LEFT($A$194:$A$199,LEN(A193)+1)=A193&amp;".")*$I$194:$I$199),2)</f>
        <v/>
      </c>
      <c r="J193" s="126" t="n"/>
      <c r="K193" s="126" t="n"/>
      <c r="L193" s="125" t="n"/>
      <c r="M193" s="125" t="n"/>
      <c r="N193" s="125" t="n"/>
      <c r="O193" s="125" t="n"/>
      <c r="P193" s="125" t="n"/>
      <c r="Q193" s="126" t="n"/>
    </row>
    <row r="194">
      <c r="A194" s="135" t="inlineStr">
        <is>
          <t>5.3.1</t>
        </is>
      </c>
      <c r="B194" s="136" t="inlineStr">
        <is>
          <t>BA：需求澄清与规则定义（F04-01）</t>
        </is>
      </c>
      <c r="C194" s="135" t="n">
        <v>3</v>
      </c>
      <c r="D194" s="136" t="n"/>
      <c r="E194" s="135" t="inlineStr">
        <is>
          <t>Mandy</t>
        </is>
      </c>
      <c r="F194" s="148" t="n">
        <v>46342</v>
      </c>
      <c r="G194" s="148" t="n">
        <v>46342</v>
      </c>
      <c r="H194" s="138" t="n">
        <v>1</v>
      </c>
      <c r="I194" s="139" t="n">
        <v>0.38</v>
      </c>
      <c r="J194" s="136" t="inlineStr">
        <is>
          <t>AI辅助</t>
        </is>
      </c>
      <c r="K194" s="136" t="inlineStr">
        <is>
          <t>2.2.2</t>
        </is>
      </c>
      <c r="L194" s="135" t="n"/>
      <c r="M194" s="135" t="n"/>
      <c r="N194" s="135" t="n"/>
      <c r="O194" s="135" t="n"/>
      <c r="P194" s="135" t="n"/>
      <c r="Q194" s="136" t="inlineStr">
        <is>
          <t>直估0.5·AI执行×0.75</t>
        </is>
      </c>
    </row>
    <row r="195">
      <c r="A195" s="135" t="inlineStr">
        <is>
          <t>5.3.2</t>
        </is>
      </c>
      <c r="B195" s="136" t="inlineStr">
        <is>
          <t>测试：用例设计与执行（F04-01·测试左移：AI用例随BA澄清先行、随CI构建持续验证）</t>
        </is>
      </c>
      <c r="C195" s="135" t="n">
        <v>3</v>
      </c>
      <c r="D195" s="136" t="n"/>
      <c r="E195" s="135" t="inlineStr">
        <is>
          <t>Mandy</t>
        </is>
      </c>
      <c r="F195" s="148" t="n">
        <v>46346</v>
      </c>
      <c r="G195" s="148" t="n">
        <v>46349</v>
      </c>
      <c r="H195" s="138" t="n">
        <v>2</v>
      </c>
      <c r="I195" s="139" t="n">
        <v>0.9</v>
      </c>
      <c r="J195" s="136" t="inlineStr">
        <is>
          <t>AI生成用例+人工审校执行</t>
        </is>
      </c>
      <c r="K195" s="136" t="inlineStr">
        <is>
          <t>5.3.1</t>
        </is>
      </c>
      <c r="L195" s="135" t="n"/>
      <c r="M195" s="135" t="n"/>
      <c r="N195" s="135" t="n"/>
      <c r="O195" s="135" t="n"/>
      <c r="P195" s="135" t="n"/>
      <c r="Q195" s="136" t="inlineStr">
        <is>
          <t>直估1.5·AI执行×0.6</t>
        </is>
      </c>
    </row>
    <row r="196">
      <c r="A196" s="135" t="inlineStr">
        <is>
          <t>5.3.3</t>
        </is>
      </c>
      <c r="B196" s="136" t="inlineStr">
        <is>
          <t>SLC文档汇编（F04-01，按功能·初稿随开发滚动AI反生成、定稿见7.1）</t>
        </is>
      </c>
      <c r="C196" s="135" t="n">
        <v>3</v>
      </c>
      <c r="D196" s="136" t="n"/>
      <c r="E196" s="135" t="inlineStr">
        <is>
          <t>Mandy</t>
        </is>
      </c>
      <c r="F196" s="148" t="n">
        <v>46349</v>
      </c>
      <c r="G196" s="148" t="n">
        <v>46349</v>
      </c>
      <c r="H196" s="138" t="n">
        <v>1</v>
      </c>
      <c r="I196" s="139" t="n">
        <v>0.38</v>
      </c>
      <c r="J196" s="136" t="inlineStr">
        <is>
          <t>AI辅助</t>
        </is>
      </c>
      <c r="K196" s="136" t="inlineStr">
        <is>
          <t>5.3.1</t>
        </is>
      </c>
      <c r="L196" s="135" t="n"/>
      <c r="M196" s="135" t="n"/>
      <c r="N196" s="135" t="n"/>
      <c r="O196" s="135" t="n"/>
      <c r="P196" s="135" t="n"/>
      <c r="Q196" s="136" t="inlineStr">
        <is>
          <t>直估0.5·AI执行×0.75</t>
        </is>
      </c>
    </row>
    <row r="197">
      <c r="A197" s="135" t="inlineStr">
        <is>
          <t>5.3.4</t>
        </is>
      </c>
      <c r="B197" s="136" t="inlineStr">
        <is>
          <t>PII字段级加密服务（前端/应用侧·含服务中间件，DevB瓶颈迁移）</t>
        </is>
      </c>
      <c r="C197" s="135" t="n">
        <v>3</v>
      </c>
      <c r="D197" s="136" t="n"/>
      <c r="E197" s="135" t="inlineStr">
        <is>
          <t>Wade</t>
        </is>
      </c>
      <c r="F197" s="148" t="n">
        <v>46337</v>
      </c>
      <c r="G197" s="148" t="n">
        <v>46338</v>
      </c>
      <c r="H197" s="138" t="n">
        <v>2</v>
      </c>
      <c r="I197" s="139" t="n">
        <v>0.98</v>
      </c>
      <c r="J197" s="136" t="inlineStr">
        <is>
          <t>AI生成+人工审核</t>
        </is>
      </c>
      <c r="K197" s="136" t="inlineStr">
        <is>
          <t>2.2.2</t>
        </is>
      </c>
      <c r="L197" s="135" t="n"/>
      <c r="M197" s="135" t="n"/>
      <c r="N197" s="135" t="n"/>
      <c r="O197" s="135" t="n"/>
      <c r="P197" s="135" t="n"/>
      <c r="Q197" s="136" t="inlineStr">
        <is>
          <t>瓶颈迁移：DevB溢出，移Wade执行；直估1.5·AI执行×0.65</t>
        </is>
      </c>
    </row>
    <row r="198">
      <c r="A198" s="135" t="inlineStr">
        <is>
          <t>5.3.5</t>
        </is>
      </c>
      <c r="B198" s="136" t="inlineStr">
        <is>
          <t>加密策略定义（数据/服务侧）</t>
        </is>
      </c>
      <c r="C198" s="135" t="n">
        <v>3</v>
      </c>
      <c r="D198" s="136" t="n"/>
      <c r="E198" s="135" t="inlineStr">
        <is>
          <t>DevB</t>
        </is>
      </c>
      <c r="F198" s="148" t="n">
        <v>46335</v>
      </c>
      <c r="G198" s="148" t="n">
        <v>46336</v>
      </c>
      <c r="H198" s="138" t="n">
        <v>2</v>
      </c>
      <c r="I198" s="139" t="n">
        <v>0.49</v>
      </c>
      <c r="J198" s="136" t="inlineStr">
        <is>
          <t>AI生成+人工审核</t>
        </is>
      </c>
      <c r="K198" s="136" t="inlineStr">
        <is>
          <t>2.2.2</t>
        </is>
      </c>
      <c r="L198" s="135" t="n"/>
      <c r="M198" s="135" t="n"/>
      <c r="N198" s="135" t="n"/>
      <c r="O198" s="135" t="n"/>
      <c r="P198" s="135" t="n"/>
      <c r="Q198" s="136" t="inlineStr">
        <is>
          <t>直估0.75·AI执行×0.65</t>
        </is>
      </c>
    </row>
    <row r="199">
      <c r="A199" s="135" t="inlineStr">
        <is>
          <t>5.3.6</t>
        </is>
      </c>
      <c r="B199" s="136" t="inlineStr">
        <is>
          <t>存储层加密落地【原生】（数据/服务侧）</t>
        </is>
      </c>
      <c r="C199" s="135" t="n">
        <v>3</v>
      </c>
      <c r="D199" s="136" t="n"/>
      <c r="E199" s="135" t="inlineStr">
        <is>
          <t>DevB</t>
        </is>
      </c>
      <c r="F199" s="148" t="n">
        <v>46336</v>
      </c>
      <c r="G199" s="148" t="n">
        <v>46336</v>
      </c>
      <c r="H199" s="138" t="n">
        <v>1</v>
      </c>
      <c r="I199" s="139" t="n">
        <v>0.33</v>
      </c>
      <c r="J199" s="136" t="inlineStr">
        <is>
          <t>AI生成+人工审核</t>
        </is>
      </c>
      <c r="K199" s="136" t="inlineStr">
        <is>
          <t>2.2.2</t>
        </is>
      </c>
      <c r="L199" s="135" t="n"/>
      <c r="M199" s="135" t="n"/>
      <c r="N199" s="135" t="n"/>
      <c r="O199" s="135" t="n"/>
      <c r="P199" s="135" t="n"/>
      <c r="Q199" s="136" t="inlineStr">
        <is>
          <t>直估0.5·AI执行×0.65</t>
        </is>
      </c>
    </row>
    <row r="200">
      <c r="A200" s="125" t="inlineStr">
        <is>
          <t>5.4</t>
        </is>
      </c>
      <c r="B200" s="126" t="inlineStr">
        <is>
          <t>F04-02 F04-02 密钥管理</t>
        </is>
      </c>
      <c r="C200" s="125" t="n">
        <v>2</v>
      </c>
      <c r="D200" s="126" t="n"/>
      <c r="E200" s="125" t="inlineStr">
        <is>
          <t>DevB/Mandy/Wade</t>
        </is>
      </c>
      <c r="F200" s="146" t="n">
        <v>46336</v>
      </c>
      <c r="G200" s="146" t="n">
        <v>46350</v>
      </c>
      <c r="H200" s="128" t="n">
        <v>11</v>
      </c>
      <c r="I200" s="129">
        <f>ROUND(SUMPRODUCT(($C$201:$C$207=3)*(LEFT($A$201:$A$207,LEN(A200)+1)=A200&amp;".")*$I$201:$I$207),2)</f>
        <v/>
      </c>
      <c r="J200" s="126" t="n"/>
      <c r="K200" s="126" t="n"/>
      <c r="L200" s="125" t="n"/>
      <c r="M200" s="125" t="n"/>
      <c r="N200" s="125" t="n"/>
      <c r="O200" s="125" t="n"/>
      <c r="P200" s="125" t="n"/>
      <c r="Q200" s="126" t="n"/>
    </row>
    <row r="201">
      <c r="A201" s="135" t="inlineStr">
        <is>
          <t>5.4.1</t>
        </is>
      </c>
      <c r="B201" s="136" t="inlineStr">
        <is>
          <t>BA：需求澄清与规则定义（F04-02）</t>
        </is>
      </c>
      <c r="C201" s="135" t="n">
        <v>3</v>
      </c>
      <c r="D201" s="136" t="n"/>
      <c r="E201" s="135" t="inlineStr">
        <is>
          <t>Mandy</t>
        </is>
      </c>
      <c r="F201" s="148" t="n">
        <v>46342</v>
      </c>
      <c r="G201" s="148" t="n">
        <v>46342</v>
      </c>
      <c r="H201" s="138" t="n">
        <v>1</v>
      </c>
      <c r="I201" s="139" t="n">
        <v>0.19</v>
      </c>
      <c r="J201" s="136" t="inlineStr">
        <is>
          <t>AI辅助</t>
        </is>
      </c>
      <c r="K201" s="136" t="inlineStr">
        <is>
          <t>2.2.2</t>
        </is>
      </c>
      <c r="L201" s="135" t="n"/>
      <c r="M201" s="135" t="n"/>
      <c r="N201" s="135" t="n"/>
      <c r="O201" s="135" t="n"/>
      <c r="P201" s="135" t="n"/>
      <c r="Q201" s="136" t="inlineStr">
        <is>
          <t>直估0.25·AI执行×0.75</t>
        </is>
      </c>
    </row>
    <row r="202">
      <c r="A202" s="135" t="inlineStr">
        <is>
          <t>5.4.2</t>
        </is>
      </c>
      <c r="B202" s="136" t="inlineStr">
        <is>
          <t>测试：用例设计与执行（F04-02·测试左移：AI用例随BA澄清先行、随CI构建持续验证）</t>
        </is>
      </c>
      <c r="C202" s="135" t="n">
        <v>3</v>
      </c>
      <c r="D202" s="136" t="n"/>
      <c r="E202" s="135" t="inlineStr">
        <is>
          <t>Mandy</t>
        </is>
      </c>
      <c r="F202" s="148" t="n">
        <v>46349</v>
      </c>
      <c r="G202" s="148" t="n">
        <v>46350</v>
      </c>
      <c r="H202" s="138" t="n">
        <v>2</v>
      </c>
      <c r="I202" s="139" t="n">
        <v>0.75</v>
      </c>
      <c r="J202" s="136" t="inlineStr">
        <is>
          <t>AI生成用例+人工审校执行</t>
        </is>
      </c>
      <c r="K202" s="136" t="inlineStr">
        <is>
          <t>5.4.1</t>
        </is>
      </c>
      <c r="L202" s="135" t="n"/>
      <c r="M202" s="135" t="n"/>
      <c r="N202" s="135" t="n"/>
      <c r="O202" s="135" t="n"/>
      <c r="P202" s="135" t="n"/>
      <c r="Q202" s="136" t="inlineStr">
        <is>
          <t>直估1.25·AI执行×0.6</t>
        </is>
      </c>
    </row>
    <row r="203">
      <c r="A203" s="135" t="inlineStr">
        <is>
          <t>5.4.3</t>
        </is>
      </c>
      <c r="B203" s="136" t="inlineStr">
        <is>
          <t>SLC文档汇编（F04-02，按功能·初稿随开发滚动AI反生成、定稿见7.1）</t>
        </is>
      </c>
      <c r="C203" s="135" t="n">
        <v>3</v>
      </c>
      <c r="D203" s="136" t="n"/>
      <c r="E203" s="135" t="inlineStr">
        <is>
          <t>Mandy</t>
        </is>
      </c>
      <c r="F203" s="148" t="n">
        <v>46350</v>
      </c>
      <c r="G203" s="148" t="n">
        <v>46350</v>
      </c>
      <c r="H203" s="138" t="n">
        <v>1</v>
      </c>
      <c r="I203" s="139" t="n">
        <v>0.38</v>
      </c>
      <c r="J203" s="136" t="inlineStr">
        <is>
          <t>AI辅助</t>
        </is>
      </c>
      <c r="K203" s="136" t="inlineStr">
        <is>
          <t>5.4.1</t>
        </is>
      </c>
      <c r="L203" s="135" t="n"/>
      <c r="M203" s="135" t="n"/>
      <c r="N203" s="135" t="n"/>
      <c r="O203" s="135" t="n"/>
      <c r="P203" s="135" t="n"/>
      <c r="Q203" s="136" t="inlineStr">
        <is>
          <t>直估0.5·AI执行×0.75</t>
        </is>
      </c>
    </row>
    <row r="204">
      <c r="A204" s="135" t="inlineStr">
        <is>
          <t>5.4.4</t>
        </is>
      </c>
      <c r="B204" s="136" t="inlineStr">
        <is>
          <t>密钥操作审计与告警【原生】（前端/应用侧）</t>
        </is>
      </c>
      <c r="C204" s="135" t="n">
        <v>3</v>
      </c>
      <c r="D204" s="136" t="n"/>
      <c r="E204" s="135" t="inlineStr">
        <is>
          <t>Wade</t>
        </is>
      </c>
      <c r="F204" s="148" t="n">
        <v>46338</v>
      </c>
      <c r="G204" s="148" t="n">
        <v>46338</v>
      </c>
      <c r="H204" s="138" t="n">
        <v>1</v>
      </c>
      <c r="I204" s="139" t="n">
        <v>0.16</v>
      </c>
      <c r="J204" s="136" t="inlineStr">
        <is>
          <t>AI生成+人工审核</t>
        </is>
      </c>
      <c r="K204" s="136" t="inlineStr">
        <is>
          <t>2.2.2</t>
        </is>
      </c>
      <c r="L204" s="135" t="n"/>
      <c r="M204" s="135" t="n"/>
      <c r="N204" s="135" t="n"/>
      <c r="O204" s="135" t="n"/>
      <c r="P204" s="135" t="n"/>
      <c r="Q204" s="136" t="inlineStr">
        <is>
          <t>直估0.25·AI执行×0.65</t>
        </is>
      </c>
    </row>
    <row r="205">
      <c r="A205" s="135" t="inlineStr">
        <is>
          <t>5.4.5</t>
        </is>
      </c>
      <c r="B205" s="136" t="inlineStr">
        <is>
          <t>密钥状态展示（不自研管理界面）【原生】（前端/应用侧）</t>
        </is>
      </c>
      <c r="C205" s="135" t="n">
        <v>3</v>
      </c>
      <c r="D205" s="136" t="n"/>
      <c r="E205" s="135" t="inlineStr">
        <is>
          <t>Wade</t>
        </is>
      </c>
      <c r="F205" s="148" t="n">
        <v>46338</v>
      </c>
      <c r="G205" s="148" t="n">
        <v>46338</v>
      </c>
      <c r="H205" s="138" t="n">
        <v>1</v>
      </c>
      <c r="I205" s="139" t="n">
        <v>0.16</v>
      </c>
      <c r="J205" s="136" t="inlineStr">
        <is>
          <t>AI生成+人工审核</t>
        </is>
      </c>
      <c r="K205" s="136" t="inlineStr">
        <is>
          <t>2.2.2</t>
        </is>
      </c>
      <c r="L205" s="135" t="n"/>
      <c r="M205" s="135" t="n"/>
      <c r="N205" s="135" t="n"/>
      <c r="O205" s="135" t="n"/>
      <c r="P205" s="135" t="n"/>
      <c r="Q205" s="136" t="inlineStr">
        <is>
          <t>直估0.25·AI执行×0.65</t>
        </is>
      </c>
    </row>
    <row r="206">
      <c r="A206" s="135" t="inlineStr">
        <is>
          <t>5.4.6</t>
        </is>
      </c>
      <c r="B206" s="136" t="inlineStr">
        <is>
          <t>密钥全流程管理【原生】（数据/服务侧）</t>
        </is>
      </c>
      <c r="C206" s="135" t="n">
        <v>3</v>
      </c>
      <c r="D206" s="136" t="n"/>
      <c r="E206" s="135" t="inlineStr">
        <is>
          <t>DevB</t>
        </is>
      </c>
      <c r="F206" s="148" t="n">
        <v>46336</v>
      </c>
      <c r="G206" s="148" t="n">
        <v>46336</v>
      </c>
      <c r="H206" s="138" t="n">
        <v>1</v>
      </c>
      <c r="I206" s="139" t="n">
        <v>0.33</v>
      </c>
      <c r="J206" s="136" t="inlineStr">
        <is>
          <t>AI生成+人工审核</t>
        </is>
      </c>
      <c r="K206" s="136" t="inlineStr">
        <is>
          <t>2.2.2</t>
        </is>
      </c>
      <c r="L206" s="135" t="n"/>
      <c r="M206" s="135" t="n"/>
      <c r="N206" s="135" t="n"/>
      <c r="O206" s="135" t="n"/>
      <c r="P206" s="135" t="n"/>
      <c r="Q206" s="136" t="inlineStr">
        <is>
          <t>直估0.5·AI执行×0.65</t>
        </is>
      </c>
    </row>
    <row r="207">
      <c r="A207" s="135" t="inlineStr">
        <is>
          <t>5.4.7</t>
        </is>
      </c>
      <c r="B207" s="136" t="inlineStr">
        <is>
          <t>密钥操作审计与告警【原生】（数据/服务侧）</t>
        </is>
      </c>
      <c r="C207" s="135" t="n">
        <v>3</v>
      </c>
      <c r="D207" s="136" t="n"/>
      <c r="E207" s="135" t="inlineStr">
        <is>
          <t>DevB</t>
        </is>
      </c>
      <c r="F207" s="148" t="n">
        <v>46336</v>
      </c>
      <c r="G207" s="148" t="n">
        <v>46336</v>
      </c>
      <c r="H207" s="138" t="n">
        <v>1</v>
      </c>
      <c r="I207" s="139" t="n">
        <v>0.16</v>
      </c>
      <c r="J207" s="136" t="inlineStr">
        <is>
          <t>AI生成+人工审核</t>
        </is>
      </c>
      <c r="K207" s="136" t="inlineStr">
        <is>
          <t>2.2.2</t>
        </is>
      </c>
      <c r="L207" s="135" t="n"/>
      <c r="M207" s="135" t="n"/>
      <c r="N207" s="135" t="n"/>
      <c r="O207" s="135" t="n"/>
      <c r="P207" s="135" t="n"/>
      <c r="Q207" s="136" t="inlineStr">
        <is>
          <t>直估0.25·AI执行×0.65</t>
        </is>
      </c>
    </row>
    <row r="208">
      <c r="A208" s="125" t="inlineStr">
        <is>
          <t>5.5</t>
        </is>
      </c>
      <c r="B208" s="126" t="inlineStr">
        <is>
          <t>F04-03 F04-03 数据备份管理</t>
        </is>
      </c>
      <c r="C208" s="125" t="n">
        <v>2</v>
      </c>
      <c r="D208" s="126" t="n"/>
      <c r="E208" s="125" t="inlineStr">
        <is>
          <t>DevB/Mandy/Wade</t>
        </is>
      </c>
      <c r="F208" s="146" t="n">
        <v>46336</v>
      </c>
      <c r="G208" s="146" t="n">
        <v>46351</v>
      </c>
      <c r="H208" s="128" t="n">
        <v>12</v>
      </c>
      <c r="I208" s="129">
        <f>ROUND(SUMPRODUCT(($C$209:$C$216=3)*(LEFT($A$209:$A$216,LEN(A208)+1)=A208&amp;".")*$I$209:$I$216),2)</f>
        <v/>
      </c>
      <c r="J208" s="126" t="n"/>
      <c r="K208" s="126" t="n"/>
      <c r="L208" s="125" t="n"/>
      <c r="M208" s="125" t="n"/>
      <c r="N208" s="125" t="n"/>
      <c r="O208" s="125" t="n"/>
      <c r="P208" s="125" t="n"/>
      <c r="Q208" s="126" t="n"/>
    </row>
    <row r="209">
      <c r="A209" s="135" t="inlineStr">
        <is>
          <t>5.5.1</t>
        </is>
      </c>
      <c r="B209" s="136" t="inlineStr">
        <is>
          <t>BA：需求澄清与规则定义（F04-03）</t>
        </is>
      </c>
      <c r="C209" s="135" t="n">
        <v>3</v>
      </c>
      <c r="D209" s="136" t="n"/>
      <c r="E209" s="135" t="inlineStr">
        <is>
          <t>Mandy</t>
        </is>
      </c>
      <c r="F209" s="148" t="n">
        <v>46342</v>
      </c>
      <c r="G209" s="148" t="n">
        <v>46343</v>
      </c>
      <c r="H209" s="138" t="n">
        <v>2</v>
      </c>
      <c r="I209" s="139" t="n">
        <v>0.38</v>
      </c>
      <c r="J209" s="136" t="inlineStr">
        <is>
          <t>AI辅助</t>
        </is>
      </c>
      <c r="K209" s="136" t="inlineStr">
        <is>
          <t>2.2.2</t>
        </is>
      </c>
      <c r="L209" s="135" t="n"/>
      <c r="M209" s="135" t="n"/>
      <c r="N209" s="135" t="n"/>
      <c r="O209" s="135" t="n"/>
      <c r="P209" s="135" t="n"/>
      <c r="Q209" s="136" t="inlineStr">
        <is>
          <t>直估0.5·AI执行×0.75</t>
        </is>
      </c>
    </row>
    <row r="210">
      <c r="A210" s="135" t="inlineStr">
        <is>
          <t>5.5.2</t>
        </is>
      </c>
      <c r="B210" s="136" t="inlineStr">
        <is>
          <t>测试：用例设计与执行（F04-03·测试左移：AI用例随BA澄清先行、随CI构建持续验证）</t>
        </is>
      </c>
      <c r="C210" s="135" t="n">
        <v>3</v>
      </c>
      <c r="D210" s="136" t="n"/>
      <c r="E210" s="135" t="inlineStr">
        <is>
          <t>Mandy</t>
        </is>
      </c>
      <c r="F210" s="148" t="n">
        <v>46350</v>
      </c>
      <c r="G210" s="148" t="n">
        <v>46351</v>
      </c>
      <c r="H210" s="138" t="n">
        <v>2</v>
      </c>
      <c r="I210" s="139" t="n">
        <v>0.75</v>
      </c>
      <c r="J210" s="136" t="inlineStr">
        <is>
          <t>AI生成用例+人工审校执行</t>
        </is>
      </c>
      <c r="K210" s="136" t="inlineStr">
        <is>
          <t>5.5.1</t>
        </is>
      </c>
      <c r="L210" s="135" t="n"/>
      <c r="M210" s="135" t="n"/>
      <c r="N210" s="135" t="n"/>
      <c r="O210" s="135" t="n"/>
      <c r="P210" s="135" t="n"/>
      <c r="Q210" s="136" t="inlineStr">
        <is>
          <t>直估1.25·AI执行×0.6</t>
        </is>
      </c>
    </row>
    <row r="211">
      <c r="A211" s="135" t="inlineStr">
        <is>
          <t>5.5.3</t>
        </is>
      </c>
      <c r="B211" s="136" t="inlineStr">
        <is>
          <t>SLC文档汇编（F04-03，按功能·初稿随开发滚动AI反生成、定稿见7.1）</t>
        </is>
      </c>
      <c r="C211" s="135" t="n">
        <v>3</v>
      </c>
      <c r="D211" s="136" t="n"/>
      <c r="E211" s="135" t="inlineStr">
        <is>
          <t>Mandy</t>
        </is>
      </c>
      <c r="F211" s="148" t="n">
        <v>46351</v>
      </c>
      <c r="G211" s="148" t="n">
        <v>46351</v>
      </c>
      <c r="H211" s="138" t="n">
        <v>1</v>
      </c>
      <c r="I211" s="139" t="n">
        <v>0.38</v>
      </c>
      <c r="J211" s="136" t="inlineStr">
        <is>
          <t>AI辅助</t>
        </is>
      </c>
      <c r="K211" s="136" t="inlineStr">
        <is>
          <t>5.5.1</t>
        </is>
      </c>
      <c r="L211" s="135" t="n"/>
      <c r="M211" s="135" t="n"/>
      <c r="N211" s="135" t="n"/>
      <c r="O211" s="135" t="n"/>
      <c r="P211" s="135" t="n"/>
      <c r="Q211" s="136" t="inlineStr">
        <is>
          <t>直估0.5·AI执行×0.75</t>
        </is>
      </c>
    </row>
    <row r="212">
      <c r="A212" s="135" t="inlineStr">
        <is>
          <t>5.5.4</t>
        </is>
      </c>
      <c r="B212" s="136" t="inlineStr">
        <is>
          <t>备份策略配置（前端/应用侧）</t>
        </is>
      </c>
      <c r="C212" s="135" t="n">
        <v>3</v>
      </c>
      <c r="D212" s="136" t="n"/>
      <c r="E212" s="135" t="inlineStr">
        <is>
          <t>Wade</t>
        </is>
      </c>
      <c r="F212" s="148" t="n">
        <v>46338</v>
      </c>
      <c r="G212" s="148" t="n">
        <v>46339</v>
      </c>
      <c r="H212" s="138" t="n">
        <v>2</v>
      </c>
      <c r="I212" s="139" t="n">
        <v>0.49</v>
      </c>
      <c r="J212" s="136" t="inlineStr">
        <is>
          <t>AI生成+人工审核</t>
        </is>
      </c>
      <c r="K212" s="136" t="inlineStr">
        <is>
          <t>2.2.2</t>
        </is>
      </c>
      <c r="L212" s="135" t="n"/>
      <c r="M212" s="135" t="n"/>
      <c r="N212" s="135" t="n"/>
      <c r="O212" s="135" t="n"/>
      <c r="P212" s="135" t="n"/>
      <c r="Q212" s="136" t="inlineStr">
        <is>
          <t>直估0.75·AI执行×0.65</t>
        </is>
      </c>
    </row>
    <row r="213">
      <c r="A213" s="135" t="inlineStr">
        <is>
          <t>5.5.5</t>
        </is>
      </c>
      <c r="B213" s="136" t="inlineStr">
        <is>
          <t>备份监控与恢复操作【原生】（前端/应用侧）</t>
        </is>
      </c>
      <c r="C213" s="135" t="n">
        <v>3</v>
      </c>
      <c r="D213" s="136" t="n"/>
      <c r="E213" s="135" t="inlineStr">
        <is>
          <t>Wade</t>
        </is>
      </c>
      <c r="F213" s="148" t="n">
        <v>46339</v>
      </c>
      <c r="G213" s="148" t="n">
        <v>46339</v>
      </c>
      <c r="H213" s="138" t="n">
        <v>1</v>
      </c>
      <c r="I213" s="139" t="n">
        <v>0.16</v>
      </c>
      <c r="J213" s="136" t="inlineStr">
        <is>
          <t>AI生成+人工审核</t>
        </is>
      </c>
      <c r="K213" s="136" t="inlineStr">
        <is>
          <t>2.2.2</t>
        </is>
      </c>
      <c r="L213" s="135" t="n"/>
      <c r="M213" s="135" t="n"/>
      <c r="N213" s="135" t="n"/>
      <c r="O213" s="135" t="n"/>
      <c r="P213" s="135" t="n"/>
      <c r="Q213" s="136" t="inlineStr">
        <is>
          <t>直估0.25·AI执行×0.65</t>
        </is>
      </c>
    </row>
    <row r="214">
      <c r="A214" s="135" t="inlineStr">
        <is>
          <t>5.5.6</t>
        </is>
      </c>
      <c r="B214" s="136" t="inlineStr">
        <is>
          <t>备份策略配置（数据/服务侧）</t>
        </is>
      </c>
      <c r="C214" s="135" t="n">
        <v>3</v>
      </c>
      <c r="D214" s="136" t="n"/>
      <c r="E214" s="135" t="inlineStr">
        <is>
          <t>DevB</t>
        </is>
      </c>
      <c r="F214" s="148" t="n">
        <v>46336</v>
      </c>
      <c r="G214" s="148" t="n">
        <v>46337</v>
      </c>
      <c r="H214" s="138" t="n">
        <v>2</v>
      </c>
      <c r="I214" s="139" t="n">
        <v>0.33</v>
      </c>
      <c r="J214" s="136" t="inlineStr">
        <is>
          <t>AI生成+人工审核</t>
        </is>
      </c>
      <c r="K214" s="136" t="inlineStr">
        <is>
          <t>2.2.2</t>
        </is>
      </c>
      <c r="L214" s="135" t="n"/>
      <c r="M214" s="135" t="n"/>
      <c r="N214" s="135" t="n"/>
      <c r="O214" s="135" t="n"/>
      <c r="P214" s="135" t="n"/>
      <c r="Q214" s="136" t="inlineStr">
        <is>
          <t>直估0.5·AI执行×0.65</t>
        </is>
      </c>
    </row>
    <row r="215">
      <c r="A215" s="135" t="inlineStr">
        <is>
          <t>5.5.7</t>
        </is>
      </c>
      <c r="B215" s="136" t="inlineStr">
        <is>
          <t>备份作业与副本创建【原生】（数据/服务侧）</t>
        </is>
      </c>
      <c r="C215" s="135" t="n">
        <v>3</v>
      </c>
      <c r="D215" s="136" t="n"/>
      <c r="E215" s="135" t="inlineStr">
        <is>
          <t>DevB</t>
        </is>
      </c>
      <c r="F215" s="148" t="n">
        <v>46337</v>
      </c>
      <c r="G215" s="148" t="n">
        <v>46337</v>
      </c>
      <c r="H215" s="138" t="n">
        <v>1</v>
      </c>
      <c r="I215" s="139" t="n">
        <v>0.33</v>
      </c>
      <c r="J215" s="136" t="inlineStr">
        <is>
          <t>AI生成+人工审核</t>
        </is>
      </c>
      <c r="K215" s="136" t="inlineStr">
        <is>
          <t>2.2.2</t>
        </is>
      </c>
      <c r="L215" s="135" t="n"/>
      <c r="M215" s="135" t="n"/>
      <c r="N215" s="135" t="n"/>
      <c r="O215" s="135" t="n"/>
      <c r="P215" s="135" t="n"/>
      <c r="Q215" s="136" t="inlineStr">
        <is>
          <t>直估0.5·AI执行×0.65</t>
        </is>
      </c>
    </row>
    <row r="216">
      <c r="A216" s="135" t="inlineStr">
        <is>
          <t>5.5.8</t>
        </is>
      </c>
      <c r="B216" s="136" t="inlineStr">
        <is>
          <t>备份监控与恢复操作【原生】（数据/服务侧）</t>
        </is>
      </c>
      <c r="C216" s="135" t="n">
        <v>3</v>
      </c>
      <c r="D216" s="136" t="n"/>
      <c r="E216" s="135" t="inlineStr">
        <is>
          <t>DevB</t>
        </is>
      </c>
      <c r="F216" s="148" t="n">
        <v>46337</v>
      </c>
      <c r="G216" s="148" t="n">
        <v>46337</v>
      </c>
      <c r="H216" s="138" t="n">
        <v>1</v>
      </c>
      <c r="I216" s="139" t="n">
        <v>0.16</v>
      </c>
      <c r="J216" s="136" t="inlineStr">
        <is>
          <t>AI生成+人工审核</t>
        </is>
      </c>
      <c r="K216" s="136" t="inlineStr">
        <is>
          <t>2.2.2</t>
        </is>
      </c>
      <c r="L216" s="135" t="n"/>
      <c r="M216" s="135" t="n"/>
      <c r="N216" s="135" t="n"/>
      <c r="O216" s="135" t="n"/>
      <c r="P216" s="135" t="n"/>
      <c r="Q216" s="136" t="inlineStr">
        <is>
          <t>直估0.25·AI执行×0.65</t>
        </is>
      </c>
    </row>
    <row r="217">
      <c r="A217" s="125" t="inlineStr">
        <is>
          <t>5.6</t>
        </is>
      </c>
      <c r="B217" s="126" t="inlineStr">
        <is>
          <t>F05-01 F05-01 关键词检索</t>
        </is>
      </c>
      <c r="C217" s="125" t="n">
        <v>2</v>
      </c>
      <c r="D217" s="126" t="n"/>
      <c r="E217" s="125" t="inlineStr">
        <is>
          <t>DevB/Mandy/Wade</t>
        </is>
      </c>
      <c r="F217" s="146" t="n">
        <v>46337</v>
      </c>
      <c r="G217" s="146" t="n">
        <v>46353</v>
      </c>
      <c r="H217" s="128" t="n">
        <v>13</v>
      </c>
      <c r="I217" s="129">
        <f>ROUND(SUMPRODUCT(($C$218:$C$225=3)*(LEFT($A$218:$A$225,LEN(A217)+1)=A217&amp;".")*$I$218:$I$225),2)</f>
        <v/>
      </c>
      <c r="J217" s="126" t="n"/>
      <c r="K217" s="126" t="n"/>
      <c r="L217" s="125" t="n"/>
      <c r="M217" s="125" t="n"/>
      <c r="N217" s="125" t="n"/>
      <c r="O217" s="125" t="n"/>
      <c r="P217" s="125" t="n"/>
      <c r="Q217" s="126" t="n"/>
    </row>
    <row r="218">
      <c r="A218" s="135" t="inlineStr">
        <is>
          <t>5.6.1</t>
        </is>
      </c>
      <c r="B218" s="136" t="inlineStr">
        <is>
          <t>BA：需求澄清与规则定义（F05-01）</t>
        </is>
      </c>
      <c r="C218" s="135" t="n">
        <v>3</v>
      </c>
      <c r="D218" s="136" t="n"/>
      <c r="E218" s="135" t="inlineStr">
        <is>
          <t>Mandy</t>
        </is>
      </c>
      <c r="F218" s="148" t="n">
        <v>46343</v>
      </c>
      <c r="G218" s="148" t="n">
        <v>46343</v>
      </c>
      <c r="H218" s="138" t="n">
        <v>1</v>
      </c>
      <c r="I218" s="139" t="n">
        <v>0.38</v>
      </c>
      <c r="J218" s="136" t="inlineStr">
        <is>
          <t>AI辅助</t>
        </is>
      </c>
      <c r="K218" s="136" t="inlineStr">
        <is>
          <t>2.2.2</t>
        </is>
      </c>
      <c r="L218" s="135" t="n"/>
      <c r="M218" s="135" t="n"/>
      <c r="N218" s="135" t="n"/>
      <c r="O218" s="135" t="n"/>
      <c r="P218" s="135" t="n"/>
      <c r="Q218" s="136" t="inlineStr">
        <is>
          <t>直估0.5·AI执行×0.75</t>
        </is>
      </c>
    </row>
    <row r="219">
      <c r="A219" s="135" t="inlineStr">
        <is>
          <t>5.6.2</t>
        </is>
      </c>
      <c r="B219" s="136" t="inlineStr">
        <is>
          <t>测试：用例设计与执行（F05-01·测试左移：AI用例随BA澄清先行、随CI构建持续验证）</t>
        </is>
      </c>
      <c r="C219" s="135" t="n">
        <v>3</v>
      </c>
      <c r="D219" s="136" t="n"/>
      <c r="E219" s="135" t="inlineStr">
        <is>
          <t>Mandy</t>
        </is>
      </c>
      <c r="F219" s="148" t="n">
        <v>46351</v>
      </c>
      <c r="G219" s="148" t="n">
        <v>46352</v>
      </c>
      <c r="H219" s="138" t="n">
        <v>2</v>
      </c>
      <c r="I219" s="139" t="n">
        <v>0.9</v>
      </c>
      <c r="J219" s="136" t="inlineStr">
        <is>
          <t>AI生成用例+人工审校执行</t>
        </is>
      </c>
      <c r="K219" s="136" t="inlineStr">
        <is>
          <t>5.6.1</t>
        </is>
      </c>
      <c r="L219" s="135" t="n"/>
      <c r="M219" s="135" t="n"/>
      <c r="N219" s="135" t="n"/>
      <c r="O219" s="135" t="n"/>
      <c r="P219" s="135" t="n"/>
      <c r="Q219" s="136" t="inlineStr">
        <is>
          <t>直估1.5·AI执行×0.6</t>
        </is>
      </c>
    </row>
    <row r="220">
      <c r="A220" s="135" t="inlineStr">
        <is>
          <t>5.6.3</t>
        </is>
      </c>
      <c r="B220" s="136" t="inlineStr">
        <is>
          <t>SLC文档汇编（F05-01，按功能·初稿随开发滚动AI反生成、定稿见7.1）</t>
        </is>
      </c>
      <c r="C220" s="135" t="n">
        <v>3</v>
      </c>
      <c r="D220" s="136" t="n"/>
      <c r="E220" s="135" t="inlineStr">
        <is>
          <t>Mandy</t>
        </is>
      </c>
      <c r="F220" s="148" t="n">
        <v>46352</v>
      </c>
      <c r="G220" s="148" t="n">
        <v>46353</v>
      </c>
      <c r="H220" s="138" t="n">
        <v>2</v>
      </c>
      <c r="I220" s="139" t="n">
        <v>0.38</v>
      </c>
      <c r="J220" s="136" t="inlineStr">
        <is>
          <t>AI辅助</t>
        </is>
      </c>
      <c r="K220" s="136" t="inlineStr">
        <is>
          <t>5.6.1</t>
        </is>
      </c>
      <c r="L220" s="135" t="n"/>
      <c r="M220" s="135" t="n"/>
      <c r="N220" s="135" t="n"/>
      <c r="O220" s="135" t="n"/>
      <c r="P220" s="135" t="n"/>
      <c r="Q220" s="136" t="inlineStr">
        <is>
          <t>直估0.5·AI执行×0.75</t>
        </is>
      </c>
    </row>
    <row r="221">
      <c r="A221" s="135" t="inlineStr">
        <is>
          <t>5.6.4</t>
        </is>
      </c>
      <c r="B221" s="136" t="inlineStr">
        <is>
          <t>检索配置模型（前端/应用侧）</t>
        </is>
      </c>
      <c r="C221" s="135" t="n">
        <v>3</v>
      </c>
      <c r="D221" s="136" t="n"/>
      <c r="E221" s="135" t="inlineStr">
        <is>
          <t>Wade</t>
        </is>
      </c>
      <c r="F221" s="148" t="n">
        <v>46339</v>
      </c>
      <c r="G221" s="148" t="n">
        <v>46339</v>
      </c>
      <c r="H221" s="138" t="n">
        <v>1</v>
      </c>
      <c r="I221" s="139" t="n">
        <v>0.33</v>
      </c>
      <c r="J221" s="136" t="inlineStr">
        <is>
          <t>AI生成+人工审核</t>
        </is>
      </c>
      <c r="K221" s="136" t="inlineStr">
        <is>
          <t>2.2.2</t>
        </is>
      </c>
      <c r="L221" s="135" t="n"/>
      <c r="M221" s="135" t="n"/>
      <c r="N221" s="135" t="n"/>
      <c r="O221" s="135" t="n"/>
      <c r="P221" s="135" t="n"/>
      <c r="Q221" s="136" t="inlineStr">
        <is>
          <t>直估0.5·AI执行×0.65</t>
        </is>
      </c>
    </row>
    <row r="222">
      <c r="A222" s="135" t="inlineStr">
        <is>
          <t>5.6.5</t>
        </is>
      </c>
      <c r="B222" s="136" t="inlineStr">
        <is>
          <t>检索页动态表单（前端/应用侧）</t>
        </is>
      </c>
      <c r="C222" s="135" t="n">
        <v>3</v>
      </c>
      <c r="D222" s="136" t="n"/>
      <c r="E222" s="135" t="inlineStr">
        <is>
          <t>Wade</t>
        </is>
      </c>
      <c r="F222" s="148" t="n">
        <v>46339</v>
      </c>
      <c r="G222" s="148" t="n">
        <v>46343</v>
      </c>
      <c r="H222" s="138" t="n">
        <v>3</v>
      </c>
      <c r="I222" s="139" t="n">
        <v>1.3</v>
      </c>
      <c r="J222" s="136" t="inlineStr">
        <is>
          <t>AI生成+人工审核</t>
        </is>
      </c>
      <c r="K222" s="136" t="inlineStr">
        <is>
          <t>2.2.2</t>
        </is>
      </c>
      <c r="L222" s="135" t="n"/>
      <c r="M222" s="135" t="n"/>
      <c r="N222" s="135" t="n"/>
      <c r="O222" s="135" t="n"/>
      <c r="P222" s="135" t="n"/>
      <c r="Q222" s="136" t="inlineStr">
        <is>
          <t>直估2·AI执行×0.65</t>
        </is>
      </c>
    </row>
    <row r="223">
      <c r="A223" s="135" t="inlineStr">
        <is>
          <t>5.6.6</t>
        </is>
      </c>
      <c r="B223" s="136" t="inlineStr">
        <is>
          <t>检索配置模型（数据/服务侧）</t>
        </is>
      </c>
      <c r="C223" s="135" t="n">
        <v>3</v>
      </c>
      <c r="D223" s="136" t="n"/>
      <c r="E223" s="135" t="inlineStr">
        <is>
          <t>DevB</t>
        </is>
      </c>
      <c r="F223" s="148" t="n">
        <v>46337</v>
      </c>
      <c r="G223" s="148" t="n">
        <v>46338</v>
      </c>
      <c r="H223" s="138" t="n">
        <v>2</v>
      </c>
      <c r="I223" s="139" t="n">
        <v>0.65</v>
      </c>
      <c r="J223" s="136" t="inlineStr">
        <is>
          <t>AI生成+人工审核</t>
        </is>
      </c>
      <c r="K223" s="136" t="inlineStr">
        <is>
          <t>2.2.2</t>
        </is>
      </c>
      <c r="L223" s="135" t="n"/>
      <c r="M223" s="135" t="n"/>
      <c r="N223" s="135" t="n"/>
      <c r="O223" s="135" t="n"/>
      <c r="P223" s="135" t="n"/>
      <c r="Q223" s="136" t="inlineStr">
        <is>
          <t>直估1·AI执行×0.65</t>
        </is>
      </c>
    </row>
    <row r="224">
      <c r="A224" s="135" t="inlineStr">
        <is>
          <t>5.6.7</t>
        </is>
      </c>
      <c r="B224" s="136" t="inlineStr">
        <is>
          <t>检索页动态表单（数据/服务侧）</t>
        </is>
      </c>
      <c r="C224" s="135" t="n">
        <v>3</v>
      </c>
      <c r="D224" s="136" t="n"/>
      <c r="E224" s="135" t="inlineStr">
        <is>
          <t>DevB</t>
        </is>
      </c>
      <c r="F224" s="148" t="n">
        <v>46338</v>
      </c>
      <c r="G224" s="148" t="n">
        <v>46338</v>
      </c>
      <c r="H224" s="138" t="n">
        <v>1</v>
      </c>
      <c r="I224" s="139" t="n">
        <v>0.16</v>
      </c>
      <c r="J224" s="136" t="inlineStr">
        <is>
          <t>AI生成+人工审核</t>
        </is>
      </c>
      <c r="K224" s="136" t="inlineStr">
        <is>
          <t>2.2.2</t>
        </is>
      </c>
      <c r="L224" s="135" t="n"/>
      <c r="M224" s="135" t="n"/>
      <c r="N224" s="135" t="n"/>
      <c r="O224" s="135" t="n"/>
      <c r="P224" s="135" t="n"/>
      <c r="Q224" s="136" t="inlineStr">
        <is>
          <t>直估0.25·AI执行×0.65</t>
        </is>
      </c>
    </row>
    <row r="225">
      <c r="A225" s="135" t="inlineStr">
        <is>
          <t>5.6.8</t>
        </is>
      </c>
      <c r="B225" s="136" t="inlineStr">
        <is>
          <t>查询代理与SERVE层对接（数据/服务侧）</t>
        </is>
      </c>
      <c r="C225" s="135" t="n">
        <v>3</v>
      </c>
      <c r="D225" s="136" t="n"/>
      <c r="E225" s="135" t="inlineStr">
        <is>
          <t>DevB</t>
        </is>
      </c>
      <c r="F225" s="148" t="n">
        <v>46338</v>
      </c>
      <c r="G225" s="148" t="n">
        <v>46339</v>
      </c>
      <c r="H225" s="138" t="n">
        <v>2</v>
      </c>
      <c r="I225" s="139" t="n">
        <v>0.8100000000000001</v>
      </c>
      <c r="J225" s="136" t="inlineStr">
        <is>
          <t>AI生成+人工审核</t>
        </is>
      </c>
      <c r="K225" s="136" t="inlineStr">
        <is>
          <t>2.2.2</t>
        </is>
      </c>
      <c r="L225" s="135" t="n"/>
      <c r="M225" s="135" t="n"/>
      <c r="N225" s="135" t="n"/>
      <c r="O225" s="135" t="n"/>
      <c r="P225" s="135" t="n"/>
      <c r="Q225" s="136" t="inlineStr">
        <is>
          <t>直估1.25·AI执行×0.65</t>
        </is>
      </c>
    </row>
    <row r="226">
      <c r="A226" s="125" t="inlineStr">
        <is>
          <t>5.7</t>
        </is>
      </c>
      <c r="B226" s="126" t="inlineStr">
        <is>
          <t>F06-01 F06-01 归档操作日志记录</t>
        </is>
      </c>
      <c r="C226" s="125" t="n">
        <v>2</v>
      </c>
      <c r="D226" s="126" t="n"/>
      <c r="E226" s="125" t="inlineStr">
        <is>
          <t>DevB/Mandy/Wade</t>
        </is>
      </c>
      <c r="F226" s="146" t="n">
        <v>46343</v>
      </c>
      <c r="G226" s="146" t="n">
        <v>46359</v>
      </c>
      <c r="H226" s="128" t="n">
        <v>13</v>
      </c>
      <c r="I226" s="129">
        <f>ROUND(SUMPRODUCT(($C$227:$C$233=3)*(LEFT($A$227:$A$233,LEN(A226)+1)=A226&amp;".")*$I$227:$I$233),2)</f>
        <v/>
      </c>
      <c r="J226" s="126" t="n"/>
      <c r="K226" s="126" t="n"/>
      <c r="L226" s="125" t="n"/>
      <c r="M226" s="125" t="n"/>
      <c r="N226" s="125" t="n"/>
      <c r="O226" s="125" t="n"/>
      <c r="P226" s="125" t="n"/>
      <c r="Q226" s="126" t="n"/>
    </row>
    <row r="227">
      <c r="A227" s="135" t="inlineStr">
        <is>
          <t>5.7.1</t>
        </is>
      </c>
      <c r="B227" s="136" t="inlineStr">
        <is>
          <t>BA：需求澄清与规则定义（F06-01）</t>
        </is>
      </c>
      <c r="C227" s="135" t="n">
        <v>3</v>
      </c>
      <c r="D227" s="136" t="n"/>
      <c r="E227" s="135" t="inlineStr">
        <is>
          <t>Mandy</t>
        </is>
      </c>
      <c r="F227" s="148" t="n">
        <v>46343</v>
      </c>
      <c r="G227" s="148" t="n">
        <v>46343</v>
      </c>
      <c r="H227" s="138" t="n">
        <v>1</v>
      </c>
      <c r="I227" s="139" t="n">
        <v>0.19</v>
      </c>
      <c r="J227" s="136" t="inlineStr">
        <is>
          <t>AI辅助</t>
        </is>
      </c>
      <c r="K227" s="136" t="inlineStr">
        <is>
          <t>2.2.2</t>
        </is>
      </c>
      <c r="L227" s="135" t="n"/>
      <c r="M227" s="135" t="n"/>
      <c r="N227" s="135" t="n"/>
      <c r="O227" s="135" t="n"/>
      <c r="P227" s="135" t="n"/>
      <c r="Q227" s="136" t="inlineStr">
        <is>
          <t>直估0.25·AI执行×0.75</t>
        </is>
      </c>
    </row>
    <row r="228">
      <c r="A228" s="135" t="inlineStr">
        <is>
          <t>5.7.2</t>
        </is>
      </c>
      <c r="B228" s="136" t="inlineStr">
        <is>
          <t>测试：用例设计与执行（F06-01·测试左移：AI用例随BA澄清先行、随CI构建持续验证）</t>
        </is>
      </c>
      <c r="C228" s="135" t="n">
        <v>3</v>
      </c>
      <c r="D228" s="136" t="n"/>
      <c r="E228" s="135" t="inlineStr">
        <is>
          <t>Mandy</t>
        </is>
      </c>
      <c r="F228" s="148" t="n">
        <v>46358</v>
      </c>
      <c r="G228" s="148" t="n">
        <v>46359</v>
      </c>
      <c r="H228" s="138" t="n">
        <v>2</v>
      </c>
      <c r="I228" s="139" t="n">
        <v>0.75</v>
      </c>
      <c r="J228" s="136" t="inlineStr">
        <is>
          <t>AI生成用例+人工审校执行</t>
        </is>
      </c>
      <c r="K228" s="136" t="inlineStr">
        <is>
          <t>5.7.1</t>
        </is>
      </c>
      <c r="L228" s="135" t="n"/>
      <c r="M228" s="135" t="n"/>
      <c r="N228" s="135" t="n"/>
      <c r="O228" s="135" t="n"/>
      <c r="P228" s="135" t="n"/>
      <c r="Q228" s="136" t="inlineStr">
        <is>
          <t>直估1.25·AI执行×0.6</t>
        </is>
      </c>
    </row>
    <row r="229">
      <c r="A229" s="135" t="inlineStr">
        <is>
          <t>5.7.3</t>
        </is>
      </c>
      <c r="B229" s="136" t="inlineStr">
        <is>
          <t>SLC文档汇编（F06-01，按功能·初稿随开发滚动AI反生成、定稿见7.1）</t>
        </is>
      </c>
      <c r="C229" s="135" t="n">
        <v>3</v>
      </c>
      <c r="D229" s="136" t="n"/>
      <c r="E229" s="135" t="inlineStr">
        <is>
          <t>Mandy</t>
        </is>
      </c>
      <c r="F229" s="148" t="n">
        <v>46359</v>
      </c>
      <c r="G229" s="148" t="n">
        <v>46359</v>
      </c>
      <c r="H229" s="138" t="n">
        <v>1</v>
      </c>
      <c r="I229" s="139" t="n">
        <v>0.38</v>
      </c>
      <c r="J229" s="136" t="inlineStr">
        <is>
          <t>AI辅助</t>
        </is>
      </c>
      <c r="K229" s="136" t="inlineStr">
        <is>
          <t>5.7.1</t>
        </is>
      </c>
      <c r="L229" s="135" t="n"/>
      <c r="M229" s="135" t="n"/>
      <c r="N229" s="135" t="n"/>
      <c r="O229" s="135" t="n"/>
      <c r="P229" s="135" t="n"/>
      <c r="Q229" s="136" t="inlineStr">
        <is>
          <t>直估0.5·AI执行×0.75</t>
        </is>
      </c>
    </row>
    <row r="230">
      <c r="A230" s="135" t="inlineStr">
        <is>
          <t>5.7.4</t>
        </is>
      </c>
      <c r="B230" s="136" t="inlineStr">
        <is>
          <t>操作拦截与落库（前端/应用侧·含服务中间件，DevB瓶颈迁移）</t>
        </is>
      </c>
      <c r="C230" s="135" t="n">
        <v>3</v>
      </c>
      <c r="D230" s="136" t="n"/>
      <c r="E230" s="135" t="inlineStr">
        <is>
          <t>Wade</t>
        </is>
      </c>
      <c r="F230" s="148" t="n">
        <v>46349</v>
      </c>
      <c r="G230" s="148" t="n">
        <v>46350</v>
      </c>
      <c r="H230" s="138" t="n">
        <v>2</v>
      </c>
      <c r="I230" s="139" t="n">
        <v>0.65</v>
      </c>
      <c r="J230" s="136" t="inlineStr">
        <is>
          <t>AI生成+人工审核</t>
        </is>
      </c>
      <c r="K230" s="136" t="inlineStr">
        <is>
          <t>2.2.2</t>
        </is>
      </c>
      <c r="L230" s="135" t="n"/>
      <c r="M230" s="135" t="n"/>
      <c r="N230" s="135" t="n"/>
      <c r="O230" s="135" t="n"/>
      <c r="P230" s="135" t="n"/>
      <c r="Q230" s="136" t="inlineStr">
        <is>
          <t>瓶颈迁移：DevB溢出，移Wade执行；直估1·AI执行×0.65</t>
        </is>
      </c>
    </row>
    <row r="231">
      <c r="A231" s="135" t="inlineStr">
        <is>
          <t>5.7.5</t>
        </is>
      </c>
      <c r="B231" s="136" t="inlineStr">
        <is>
          <t>审计查询界面（前端/应用侧）</t>
        </is>
      </c>
      <c r="C231" s="135" t="n">
        <v>3</v>
      </c>
      <c r="D231" s="136" t="n"/>
      <c r="E231" s="135" t="inlineStr">
        <is>
          <t>Wade</t>
        </is>
      </c>
      <c r="F231" s="148" t="n">
        <v>46350</v>
      </c>
      <c r="G231" s="148" t="n">
        <v>46351</v>
      </c>
      <c r="H231" s="138" t="n">
        <v>2</v>
      </c>
      <c r="I231" s="139" t="n">
        <v>0.98</v>
      </c>
      <c r="J231" s="136" t="inlineStr">
        <is>
          <t>AI生成+人工审核</t>
        </is>
      </c>
      <c r="K231" s="136" t="inlineStr">
        <is>
          <t>2.2.2</t>
        </is>
      </c>
      <c r="L231" s="135" t="n"/>
      <c r="M231" s="135" t="n"/>
      <c r="N231" s="135" t="n"/>
      <c r="O231" s="135" t="n"/>
      <c r="P231" s="135" t="n"/>
      <c r="Q231" s="136" t="inlineStr">
        <is>
          <t>直估1.5·AI执行×0.65</t>
        </is>
      </c>
    </row>
    <row r="232">
      <c r="A232" s="135" t="inlineStr">
        <is>
          <t>5.7.6</t>
        </is>
      </c>
      <c r="B232" s="136" t="inlineStr">
        <is>
          <t>埋点规范与日志模型（数据/服务侧）</t>
        </is>
      </c>
      <c r="C232" s="135" t="n">
        <v>3</v>
      </c>
      <c r="D232" s="136" t="n"/>
      <c r="E232" s="135" t="inlineStr">
        <is>
          <t>DevB</t>
        </is>
      </c>
      <c r="F232" s="148" t="n">
        <v>46343</v>
      </c>
      <c r="G232" s="148" t="n">
        <v>46344</v>
      </c>
      <c r="H232" s="138" t="n">
        <v>2</v>
      </c>
      <c r="I232" s="139" t="n">
        <v>0.33</v>
      </c>
      <c r="J232" s="136" t="inlineStr">
        <is>
          <t>AI生成+人工审核</t>
        </is>
      </c>
      <c r="K232" s="136" t="inlineStr">
        <is>
          <t>2.2.2</t>
        </is>
      </c>
      <c r="L232" s="135" t="n"/>
      <c r="M232" s="135" t="n"/>
      <c r="N232" s="135" t="n"/>
      <c r="O232" s="135" t="n"/>
      <c r="P232" s="135" t="n"/>
      <c r="Q232" s="136" t="inlineStr">
        <is>
          <t>直估0.5·AI执行×0.65</t>
        </is>
      </c>
    </row>
    <row r="233">
      <c r="A233" s="135" t="inlineStr">
        <is>
          <t>5.7.7</t>
        </is>
      </c>
      <c r="B233" s="136" t="inlineStr">
        <is>
          <t>审计查询界面（数据/服务侧）</t>
        </is>
      </c>
      <c r="C233" s="135" t="n">
        <v>3</v>
      </c>
      <c r="D233" s="136" t="n"/>
      <c r="E233" s="135" t="inlineStr">
        <is>
          <t>DevB</t>
        </is>
      </c>
      <c r="F233" s="148" t="n">
        <v>46344</v>
      </c>
      <c r="G233" s="148" t="n">
        <v>46344</v>
      </c>
      <c r="H233" s="138" t="n">
        <v>1</v>
      </c>
      <c r="I233" s="139" t="n">
        <v>0.16</v>
      </c>
      <c r="J233" s="136" t="inlineStr">
        <is>
          <t>AI生成+人工审核</t>
        </is>
      </c>
      <c r="K233" s="136" t="inlineStr">
        <is>
          <t>2.2.2</t>
        </is>
      </c>
      <c r="L233" s="135" t="n"/>
      <c r="M233" s="135" t="n"/>
      <c r="N233" s="135" t="n"/>
      <c r="O233" s="135" t="n"/>
      <c r="P233" s="135" t="n"/>
      <c r="Q233" s="136" t="inlineStr">
        <is>
          <t>直估0.25·AI执行×0.65</t>
        </is>
      </c>
    </row>
    <row r="234">
      <c r="A234" s="125" t="inlineStr">
        <is>
          <t>5.8</t>
        </is>
      </c>
      <c r="B234" s="126" t="inlineStr">
        <is>
          <t>F05-02 F05-02 按系统名称检索</t>
        </is>
      </c>
      <c r="C234" s="125" t="n">
        <v>2</v>
      </c>
      <c r="D234" s="126" t="n"/>
      <c r="E234" s="125" t="inlineStr">
        <is>
          <t>Mandy/Wade</t>
        </is>
      </c>
      <c r="F234" s="146" t="n">
        <v>46343</v>
      </c>
      <c r="G234" s="146" t="n">
        <v>46353</v>
      </c>
      <c r="H234" s="128" t="n">
        <v>9</v>
      </c>
      <c r="I234" s="129">
        <f>ROUND(SUMPRODUCT(($C$235:$C$238=3)*(LEFT($A$235:$A$238,LEN(A234)+1)=A234&amp;".")*$I$235:$I$238),2)</f>
        <v/>
      </c>
      <c r="J234" s="126" t="n"/>
      <c r="K234" s="126" t="n"/>
      <c r="L234" s="125" t="n"/>
      <c r="M234" s="125" t="n"/>
      <c r="N234" s="125" t="n"/>
      <c r="O234" s="125" t="n"/>
      <c r="P234" s="125" t="n"/>
      <c r="Q234" s="126" t="n"/>
    </row>
    <row r="235">
      <c r="A235" s="135" t="inlineStr">
        <is>
          <t>5.8.1</t>
        </is>
      </c>
      <c r="B235" s="136" t="inlineStr">
        <is>
          <t>测试：用例设计与执行（F05-02·测试左移：AI用例随BA澄清先行、随CI构建持续验证）</t>
        </is>
      </c>
      <c r="C235" s="135" t="n">
        <v>3</v>
      </c>
      <c r="D235" s="136" t="n"/>
      <c r="E235" s="135" t="inlineStr">
        <is>
          <t>Mandy</t>
        </is>
      </c>
      <c r="F235" s="148" t="n">
        <v>46353</v>
      </c>
      <c r="G235" s="148" t="n">
        <v>46353</v>
      </c>
      <c r="H235" s="138" t="n">
        <v>1</v>
      </c>
      <c r="I235" s="139" t="n">
        <v>0.3</v>
      </c>
      <c r="J235" s="136" t="inlineStr">
        <is>
          <t>AI生成用例+人工审校执行</t>
        </is>
      </c>
      <c r="K235" s="136" t="inlineStr">
        <is>
          <t>2.2.2</t>
        </is>
      </c>
      <c r="L235" s="135" t="n"/>
      <c r="M235" s="135" t="n"/>
      <c r="N235" s="135" t="n"/>
      <c r="O235" s="135" t="n"/>
      <c r="P235" s="135" t="n"/>
      <c r="Q235" s="136" t="inlineStr">
        <is>
          <t>直估0.5·AI执行×0.6</t>
        </is>
      </c>
    </row>
    <row r="236">
      <c r="A236" s="135" t="inlineStr">
        <is>
          <t>5.8.2</t>
        </is>
      </c>
      <c r="B236" s="136" t="inlineStr">
        <is>
          <t>SLC文档汇编（F05-02，按功能·初稿随开发滚动AI反生成、定稿见7.1）</t>
        </is>
      </c>
      <c r="C236" s="135" t="n">
        <v>3</v>
      </c>
      <c r="D236" s="136" t="n"/>
      <c r="E236" s="135" t="inlineStr">
        <is>
          <t>Mandy</t>
        </is>
      </c>
      <c r="F236" s="148" t="n">
        <v>46353</v>
      </c>
      <c r="G236" s="148" t="n">
        <v>46353</v>
      </c>
      <c r="H236" s="138" t="n">
        <v>1</v>
      </c>
      <c r="I236" s="139" t="n">
        <v>0.19</v>
      </c>
      <c r="J236" s="136" t="inlineStr">
        <is>
          <t>AI辅助</t>
        </is>
      </c>
      <c r="K236" s="136" t="inlineStr">
        <is>
          <t>2.2.2</t>
        </is>
      </c>
      <c r="L236" s="135" t="n"/>
      <c r="M236" s="135" t="n"/>
      <c r="N236" s="135" t="n"/>
      <c r="O236" s="135" t="n"/>
      <c r="P236" s="135" t="n"/>
      <c r="Q236" s="136" t="inlineStr">
        <is>
          <t>直估0.25·AI执行×0.75</t>
        </is>
      </c>
    </row>
    <row r="237">
      <c r="A237" s="135" t="inlineStr">
        <is>
          <t>5.8.3</t>
        </is>
      </c>
      <c r="B237" s="136" t="inlineStr">
        <is>
          <t>来源系统筛选组件（前端/应用侧）</t>
        </is>
      </c>
      <c r="C237" s="135" t="n">
        <v>3</v>
      </c>
      <c r="D237" s="136" t="n"/>
      <c r="E237" s="135" t="inlineStr">
        <is>
          <t>Wade</t>
        </is>
      </c>
      <c r="F237" s="148" t="n">
        <v>46343</v>
      </c>
      <c r="G237" s="148" t="n">
        <v>46343</v>
      </c>
      <c r="H237" s="138" t="n">
        <v>1</v>
      </c>
      <c r="I237" s="139" t="n">
        <v>0.49</v>
      </c>
      <c r="J237" s="136" t="inlineStr">
        <is>
          <t>AI生成+人工审核</t>
        </is>
      </c>
      <c r="K237" s="136" t="inlineStr">
        <is>
          <t>2.2.2</t>
        </is>
      </c>
      <c r="L237" s="135" t="n"/>
      <c r="M237" s="135" t="n"/>
      <c r="N237" s="135" t="n"/>
      <c r="O237" s="135" t="n"/>
      <c r="P237" s="135" t="n"/>
      <c r="Q237" s="136" t="inlineStr">
        <is>
          <t>直估0.75·AI执行×0.65</t>
        </is>
      </c>
    </row>
    <row r="238">
      <c r="A238" s="135" t="inlineStr">
        <is>
          <t>5.8.4</t>
        </is>
      </c>
      <c r="B238" s="136" t="inlineStr">
        <is>
          <t>来源维度查询下推（前端/应用侧·含服务中间件，DevB瓶颈迁移）</t>
        </is>
      </c>
      <c r="C238" s="135" t="n">
        <v>3</v>
      </c>
      <c r="D238" s="136" t="n"/>
      <c r="E238" s="135" t="inlineStr">
        <is>
          <t>Wade</t>
        </is>
      </c>
      <c r="F238" s="148" t="n">
        <v>46343</v>
      </c>
      <c r="G238" s="148" t="n">
        <v>46343</v>
      </c>
      <c r="H238" s="138" t="n">
        <v>1</v>
      </c>
      <c r="I238" s="139" t="n">
        <v>0.33</v>
      </c>
      <c r="J238" s="136" t="inlineStr">
        <is>
          <t>AI生成+人工审核</t>
        </is>
      </c>
      <c r="K238" s="136" t="inlineStr">
        <is>
          <t>2.2.2</t>
        </is>
      </c>
      <c r="L238" s="135" t="n"/>
      <c r="M238" s="135" t="n"/>
      <c r="N238" s="135" t="n"/>
      <c r="O238" s="135" t="n"/>
      <c r="P238" s="135" t="n"/>
      <c r="Q238" s="136" t="inlineStr">
        <is>
          <t>瓶颈迁移：DevB溢出，移Wade执行；直估0.5·AI执行×0.65</t>
        </is>
      </c>
    </row>
    <row r="239">
      <c r="A239" s="125" t="inlineStr">
        <is>
          <t>5.9</t>
        </is>
      </c>
      <c r="B239" s="126" t="inlineStr">
        <is>
          <t>F05-03 F05-03 按业务时间检索</t>
        </is>
      </c>
      <c r="C239" s="125" t="n">
        <v>2</v>
      </c>
      <c r="D239" s="126" t="n"/>
      <c r="E239" s="125" t="inlineStr">
        <is>
          <t>Mandy/Wade</t>
        </is>
      </c>
      <c r="F239" s="146" t="n">
        <v>46343</v>
      </c>
      <c r="G239" s="146" t="n">
        <v>46356</v>
      </c>
      <c r="H239" s="128" t="n">
        <v>10</v>
      </c>
      <c r="I239" s="129">
        <f>ROUND(SUMPRODUCT(($C$240:$C$243=3)*(LEFT($A$240:$A$243,LEN(A239)+1)=A239&amp;".")*$I$240:$I$243),2)</f>
        <v/>
      </c>
      <c r="J239" s="126" t="n"/>
      <c r="K239" s="126" t="n"/>
      <c r="L239" s="125" t="n"/>
      <c r="M239" s="125" t="n"/>
      <c r="N239" s="125" t="n"/>
      <c r="O239" s="125" t="n"/>
      <c r="P239" s="125" t="n"/>
      <c r="Q239" s="126" t="n"/>
    </row>
    <row r="240">
      <c r="A240" s="135" t="inlineStr">
        <is>
          <t>5.9.1</t>
        </is>
      </c>
      <c r="B240" s="136" t="inlineStr">
        <is>
          <t>测试：用例设计与执行（F05-03·测试左移：AI用例随BA澄清先行、随CI构建持续验证）</t>
        </is>
      </c>
      <c r="C240" s="135" t="n">
        <v>3</v>
      </c>
      <c r="D240" s="136" t="n"/>
      <c r="E240" s="135" t="inlineStr">
        <is>
          <t>Mandy</t>
        </is>
      </c>
      <c r="F240" s="148" t="n">
        <v>46353</v>
      </c>
      <c r="G240" s="148" t="n">
        <v>46356</v>
      </c>
      <c r="H240" s="138" t="n">
        <v>2</v>
      </c>
      <c r="I240" s="139" t="n">
        <v>0.3</v>
      </c>
      <c r="J240" s="136" t="inlineStr">
        <is>
          <t>AI生成用例+人工审校执行</t>
        </is>
      </c>
      <c r="K240" s="136" t="inlineStr">
        <is>
          <t>2.2.2</t>
        </is>
      </c>
      <c r="L240" s="135" t="n"/>
      <c r="M240" s="135" t="n"/>
      <c r="N240" s="135" t="n"/>
      <c r="O240" s="135" t="n"/>
      <c r="P240" s="135" t="n"/>
      <c r="Q240" s="136" t="inlineStr">
        <is>
          <t>直估0.5·AI执行×0.6</t>
        </is>
      </c>
    </row>
    <row r="241">
      <c r="A241" s="135" t="inlineStr">
        <is>
          <t>5.9.2</t>
        </is>
      </c>
      <c r="B241" s="136" t="inlineStr">
        <is>
          <t>SLC文档汇编（F05-03，按功能·初稿随开发滚动AI反生成、定稿见7.1）</t>
        </is>
      </c>
      <c r="C241" s="135" t="n">
        <v>3</v>
      </c>
      <c r="D241" s="136" t="n"/>
      <c r="E241" s="135" t="inlineStr">
        <is>
          <t>Mandy</t>
        </is>
      </c>
      <c r="F241" s="148" t="n">
        <v>46356</v>
      </c>
      <c r="G241" s="148" t="n">
        <v>46356</v>
      </c>
      <c r="H241" s="138" t="n">
        <v>1</v>
      </c>
      <c r="I241" s="139" t="n">
        <v>0.19</v>
      </c>
      <c r="J241" s="136" t="inlineStr">
        <is>
          <t>AI辅助</t>
        </is>
      </c>
      <c r="K241" s="136" t="inlineStr">
        <is>
          <t>2.2.2</t>
        </is>
      </c>
      <c r="L241" s="135" t="n"/>
      <c r="M241" s="135" t="n"/>
      <c r="N241" s="135" t="n"/>
      <c r="O241" s="135" t="n"/>
      <c r="P241" s="135" t="n"/>
      <c r="Q241" s="136" t="inlineStr">
        <is>
          <t>直估0.25·AI执行×0.75</t>
        </is>
      </c>
    </row>
    <row r="242">
      <c r="A242" s="135" t="inlineStr">
        <is>
          <t>5.9.3</t>
        </is>
      </c>
      <c r="B242" s="136" t="inlineStr">
        <is>
          <t>时间维度筛选组件（前端/应用侧）</t>
        </is>
      </c>
      <c r="C242" s="135" t="n">
        <v>3</v>
      </c>
      <c r="D242" s="136" t="n"/>
      <c r="E242" s="135" t="inlineStr">
        <is>
          <t>Wade</t>
        </is>
      </c>
      <c r="F242" s="148" t="n">
        <v>46343</v>
      </c>
      <c r="G242" s="148" t="n">
        <v>46344</v>
      </c>
      <c r="H242" s="138" t="n">
        <v>2</v>
      </c>
      <c r="I242" s="139" t="n">
        <v>0.49</v>
      </c>
      <c r="J242" s="136" t="inlineStr">
        <is>
          <t>AI生成+人工审核</t>
        </is>
      </c>
      <c r="K242" s="136" t="inlineStr">
        <is>
          <t>2.2.2</t>
        </is>
      </c>
      <c r="L242" s="135" t="n"/>
      <c r="M242" s="135" t="n"/>
      <c r="N242" s="135" t="n"/>
      <c r="O242" s="135" t="n"/>
      <c r="P242" s="135" t="n"/>
      <c r="Q242" s="136" t="inlineStr">
        <is>
          <t>直估0.75·AI执行×0.65</t>
        </is>
      </c>
    </row>
    <row r="243">
      <c r="A243" s="135" t="inlineStr">
        <is>
          <t>5.9.4</t>
        </is>
      </c>
      <c r="B243" s="136" t="inlineStr">
        <is>
          <t>时间分区下推与索引（前端/应用侧·含服务中间件，DevB瓶颈迁移）</t>
        </is>
      </c>
      <c r="C243" s="135" t="n">
        <v>3</v>
      </c>
      <c r="D243" s="136" t="n"/>
      <c r="E243" s="135" t="inlineStr">
        <is>
          <t>Wade</t>
        </is>
      </c>
      <c r="F243" s="148" t="n">
        <v>46344</v>
      </c>
      <c r="G243" s="148" t="n">
        <v>46344</v>
      </c>
      <c r="H243" s="138" t="n">
        <v>1</v>
      </c>
      <c r="I243" s="139" t="n">
        <v>0.33</v>
      </c>
      <c r="J243" s="136" t="inlineStr">
        <is>
          <t>AI生成+人工审核</t>
        </is>
      </c>
      <c r="K243" s="136" t="inlineStr">
        <is>
          <t>2.2.2</t>
        </is>
      </c>
      <c r="L243" s="135" t="n"/>
      <c r="M243" s="135" t="n"/>
      <c r="N243" s="135" t="n"/>
      <c r="O243" s="135" t="n"/>
      <c r="P243" s="135" t="n"/>
      <c r="Q243" s="136" t="inlineStr">
        <is>
          <t>瓶颈迁移：DevB溢出，移Wade执行；直估0.5·AI执行×0.65</t>
        </is>
      </c>
    </row>
    <row r="244">
      <c r="A244" s="125" t="inlineStr">
        <is>
          <t>5.10</t>
        </is>
      </c>
      <c r="B244" s="126" t="inlineStr">
        <is>
          <t>F05-04 F05-04 检索结果列表展示</t>
        </is>
      </c>
      <c r="C244" s="125" t="n">
        <v>2</v>
      </c>
      <c r="D244" s="126" t="n"/>
      <c r="E244" s="125" t="inlineStr">
        <is>
          <t>DevB/Mandy/Wade</t>
        </is>
      </c>
      <c r="F244" s="146" t="n">
        <v>46339</v>
      </c>
      <c r="G244" s="146" t="n">
        <v>46357</v>
      </c>
      <c r="H244" s="128" t="n">
        <v>13</v>
      </c>
      <c r="I244" s="129">
        <f>ROUND(SUMPRODUCT(($C$245:$C$249=3)*(LEFT($A$245:$A$249,LEN(A244)+1)=A244&amp;".")*$I$245:$I$249),2)</f>
        <v/>
      </c>
      <c r="J244" s="126" t="n"/>
      <c r="K244" s="126" t="n"/>
      <c r="L244" s="125" t="n"/>
      <c r="M244" s="125" t="n"/>
      <c r="N244" s="125" t="n"/>
      <c r="O244" s="125" t="n"/>
      <c r="P244" s="125" t="n"/>
      <c r="Q244" s="126" t="n"/>
    </row>
    <row r="245">
      <c r="A245" s="135" t="inlineStr">
        <is>
          <t>5.10.1</t>
        </is>
      </c>
      <c r="B245" s="136" t="inlineStr">
        <is>
          <t>测试：用例设计与执行（F05-04·测试左移：AI用例随BA澄清先行、随CI构建持续验证）</t>
        </is>
      </c>
      <c r="C245" s="135" t="n">
        <v>3</v>
      </c>
      <c r="D245" s="136" t="n"/>
      <c r="E245" s="135" t="inlineStr">
        <is>
          <t>Mandy</t>
        </is>
      </c>
      <c r="F245" s="148" t="n">
        <v>46356</v>
      </c>
      <c r="G245" s="148" t="n">
        <v>46356</v>
      </c>
      <c r="H245" s="138" t="n">
        <v>1</v>
      </c>
      <c r="I245" s="139" t="n">
        <v>0.6</v>
      </c>
      <c r="J245" s="136" t="inlineStr">
        <is>
          <t>AI生成用例+人工审校执行</t>
        </is>
      </c>
      <c r="K245" s="136" t="inlineStr">
        <is>
          <t>2.2.2</t>
        </is>
      </c>
      <c r="L245" s="135" t="n"/>
      <c r="M245" s="135" t="n"/>
      <c r="N245" s="135" t="n"/>
      <c r="O245" s="135" t="n"/>
      <c r="P245" s="135" t="n"/>
      <c r="Q245" s="136" t="inlineStr">
        <is>
          <t>直估1·AI执行×0.6</t>
        </is>
      </c>
    </row>
    <row r="246">
      <c r="A246" s="135" t="inlineStr">
        <is>
          <t>5.10.2</t>
        </is>
      </c>
      <c r="B246" s="136" t="inlineStr">
        <is>
          <t>SLC文档汇编（F05-04，按功能·初稿随开发滚动AI反生成、定稿见7.1）</t>
        </is>
      </c>
      <c r="C246" s="135" t="n">
        <v>3</v>
      </c>
      <c r="D246" s="136" t="n"/>
      <c r="E246" s="135" t="inlineStr">
        <is>
          <t>Mandy</t>
        </is>
      </c>
      <c r="F246" s="148" t="n">
        <v>46356</v>
      </c>
      <c r="G246" s="148" t="n">
        <v>46357</v>
      </c>
      <c r="H246" s="138" t="n">
        <v>2</v>
      </c>
      <c r="I246" s="139" t="n">
        <v>0.38</v>
      </c>
      <c r="J246" s="136" t="inlineStr">
        <is>
          <t>AI辅助</t>
        </is>
      </c>
      <c r="K246" s="136" t="inlineStr">
        <is>
          <t>2.2.2</t>
        </is>
      </c>
      <c r="L246" s="135" t="n"/>
      <c r="M246" s="135" t="n"/>
      <c r="N246" s="135" t="n"/>
      <c r="O246" s="135" t="n"/>
      <c r="P246" s="135" t="n"/>
      <c r="Q246" s="136" t="inlineStr">
        <is>
          <t>直估0.5·AI执行×0.75</t>
        </is>
      </c>
    </row>
    <row r="247">
      <c r="A247" s="135" t="inlineStr">
        <is>
          <t>5.10.3</t>
        </is>
      </c>
      <c r="B247" s="136" t="inlineStr">
        <is>
          <t>列表展示与分页排序（前端/应用侧）</t>
        </is>
      </c>
      <c r="C247" s="135" t="n">
        <v>3</v>
      </c>
      <c r="D247" s="136" t="n"/>
      <c r="E247" s="135" t="inlineStr">
        <is>
          <t>Wade</t>
        </is>
      </c>
      <c r="F247" s="148" t="n">
        <v>46344</v>
      </c>
      <c r="G247" s="148" t="n">
        <v>46346</v>
      </c>
      <c r="H247" s="138" t="n">
        <v>3</v>
      </c>
      <c r="I247" s="139" t="n">
        <v>1.3</v>
      </c>
      <c r="J247" s="136" t="inlineStr">
        <is>
          <t>AI生成+人工审核</t>
        </is>
      </c>
      <c r="K247" s="136" t="inlineStr">
        <is>
          <t>2.2.2</t>
        </is>
      </c>
      <c r="L247" s="135" t="n"/>
      <c r="M247" s="135" t="n"/>
      <c r="N247" s="135" t="n"/>
      <c r="O247" s="135" t="n"/>
      <c r="P247" s="135" t="n"/>
      <c r="Q247" s="136" t="inlineStr">
        <is>
          <t>直估2·AI执行×0.65</t>
        </is>
      </c>
    </row>
    <row r="248">
      <c r="A248" s="135" t="inlineStr">
        <is>
          <t>5.10.4</t>
        </is>
      </c>
      <c r="B248" s="136" t="inlineStr">
        <is>
          <t>大批量结果性能（前端/应用侧）</t>
        </is>
      </c>
      <c r="C248" s="135" t="n">
        <v>3</v>
      </c>
      <c r="D248" s="136" t="n"/>
      <c r="E248" s="135" t="inlineStr">
        <is>
          <t>Wade</t>
        </is>
      </c>
      <c r="F248" s="148" t="n">
        <v>46346</v>
      </c>
      <c r="G248" s="148" t="n">
        <v>46346</v>
      </c>
      <c r="H248" s="138" t="n">
        <v>1</v>
      </c>
      <c r="I248" s="139" t="n">
        <v>0.16</v>
      </c>
      <c r="J248" s="136" t="inlineStr">
        <is>
          <t>AI生成+人工审核</t>
        </is>
      </c>
      <c r="K248" s="136" t="inlineStr">
        <is>
          <t>2.2.2</t>
        </is>
      </c>
      <c r="L248" s="135" t="n"/>
      <c r="M248" s="135" t="n"/>
      <c r="N248" s="135" t="n"/>
      <c r="O248" s="135" t="n"/>
      <c r="P248" s="135" t="n"/>
      <c r="Q248" s="136" t="inlineStr">
        <is>
          <t>直估0.25·AI执行×0.65</t>
        </is>
      </c>
    </row>
    <row r="249">
      <c r="A249" s="135" t="inlineStr">
        <is>
          <t>5.10.5</t>
        </is>
      </c>
      <c r="B249" s="136" t="inlineStr">
        <is>
          <t>大批量结果性能（数据/服务侧）</t>
        </is>
      </c>
      <c r="C249" s="135" t="n">
        <v>3</v>
      </c>
      <c r="D249" s="136" t="n"/>
      <c r="E249" s="135" t="inlineStr">
        <is>
          <t>DevB</t>
        </is>
      </c>
      <c r="F249" s="148" t="n">
        <v>46339</v>
      </c>
      <c r="G249" s="148" t="n">
        <v>46339</v>
      </c>
      <c r="H249" s="138" t="n">
        <v>1</v>
      </c>
      <c r="I249" s="139" t="n">
        <v>0.49</v>
      </c>
      <c r="J249" s="136" t="inlineStr">
        <is>
          <t>AI生成+人工审核</t>
        </is>
      </c>
      <c r="K249" s="136" t="inlineStr">
        <is>
          <t>2.2.2</t>
        </is>
      </c>
      <c r="L249" s="135" t="n"/>
      <c r="M249" s="135" t="n"/>
      <c r="N249" s="135" t="n"/>
      <c r="O249" s="135" t="n"/>
      <c r="P249" s="135" t="n"/>
      <c r="Q249" s="136" t="inlineStr">
        <is>
          <t>直估0.75·AI执行×0.65</t>
        </is>
      </c>
    </row>
    <row r="250">
      <c r="A250" s="125" t="inlineStr">
        <is>
          <t>5.11</t>
        </is>
      </c>
      <c r="B250" s="126" t="inlineStr">
        <is>
          <t>F05-05 F05-05 原始文件在线预览</t>
        </is>
      </c>
      <c r="C250" s="125" t="n">
        <v>2</v>
      </c>
      <c r="D250" s="126" t="n"/>
      <c r="E250" s="125" t="inlineStr">
        <is>
          <t>DevB/Mandy/Wade</t>
        </is>
      </c>
      <c r="F250" s="146" t="n">
        <v>46339</v>
      </c>
      <c r="G250" s="146" t="n">
        <v>46358</v>
      </c>
      <c r="H250" s="128" t="n">
        <v>14</v>
      </c>
      <c r="I250" s="129">
        <f>ROUND(SUMPRODUCT(($C$251:$C$256=3)*(LEFT($A$251:$A$256,LEN(A250)+1)=A250&amp;".")*$I$251:$I$256),2)</f>
        <v/>
      </c>
      <c r="J250" s="126" t="n"/>
      <c r="K250" s="126" t="n"/>
      <c r="L250" s="125" t="n"/>
      <c r="M250" s="125" t="n"/>
      <c r="N250" s="125" t="n"/>
      <c r="O250" s="125" t="n"/>
      <c r="P250" s="125" t="n"/>
      <c r="Q250" s="126" t="n"/>
    </row>
    <row r="251">
      <c r="A251" s="135" t="inlineStr">
        <is>
          <t>5.11.1</t>
        </is>
      </c>
      <c r="B251" s="136" t="inlineStr">
        <is>
          <t>测试：用例设计与执行（F05-05·测试左移：AI用例随BA澄清先行、随CI构建持续验证）</t>
        </is>
      </c>
      <c r="C251" s="135" t="n">
        <v>3</v>
      </c>
      <c r="D251" s="136" t="n"/>
      <c r="E251" s="135" t="inlineStr">
        <is>
          <t>Mandy</t>
        </is>
      </c>
      <c r="F251" s="148" t="n">
        <v>46357</v>
      </c>
      <c r="G251" s="148" t="n">
        <v>46357</v>
      </c>
      <c r="H251" s="138" t="n">
        <v>1</v>
      </c>
      <c r="I251" s="139" t="n">
        <v>0.75</v>
      </c>
      <c r="J251" s="136" t="inlineStr">
        <is>
          <t>AI生成用例+人工审校执行</t>
        </is>
      </c>
      <c r="K251" s="136" t="inlineStr">
        <is>
          <t>2.2.2</t>
        </is>
      </c>
      <c r="L251" s="135" t="n"/>
      <c r="M251" s="135" t="n"/>
      <c r="N251" s="135" t="n"/>
      <c r="O251" s="135" t="n"/>
      <c r="P251" s="135" t="n"/>
      <c r="Q251" s="136" t="inlineStr">
        <is>
          <t>直估1.25·AI执行×0.6</t>
        </is>
      </c>
    </row>
    <row r="252">
      <c r="A252" s="135" t="inlineStr">
        <is>
          <t>5.11.2</t>
        </is>
      </c>
      <c r="B252" s="136" t="inlineStr">
        <is>
          <t>SLC文档汇编（F05-05，按功能·初稿随开发滚动AI反生成、定稿见7.1）</t>
        </is>
      </c>
      <c r="C252" s="135" t="n">
        <v>3</v>
      </c>
      <c r="D252" s="136" t="n"/>
      <c r="E252" s="135" t="inlineStr">
        <is>
          <t>Mandy</t>
        </is>
      </c>
      <c r="F252" s="148" t="n">
        <v>46357</v>
      </c>
      <c r="G252" s="148" t="n">
        <v>46358</v>
      </c>
      <c r="H252" s="138" t="n">
        <v>2</v>
      </c>
      <c r="I252" s="139" t="n">
        <v>0.38</v>
      </c>
      <c r="J252" s="136" t="inlineStr">
        <is>
          <t>AI辅助</t>
        </is>
      </c>
      <c r="K252" s="136" t="inlineStr">
        <is>
          <t>2.2.2</t>
        </is>
      </c>
      <c r="L252" s="135" t="n"/>
      <c r="M252" s="135" t="n"/>
      <c r="N252" s="135" t="n"/>
      <c r="O252" s="135" t="n"/>
      <c r="P252" s="135" t="n"/>
      <c r="Q252" s="136" t="inlineStr">
        <is>
          <t>直估0.5·AI执行×0.75</t>
        </is>
      </c>
    </row>
    <row r="253">
      <c r="A253" s="135" t="inlineStr">
        <is>
          <t>5.11.3</t>
        </is>
      </c>
      <c r="B253" s="136" t="inlineStr">
        <is>
          <t>SAS直连与流式加载（前端/应用侧）</t>
        </is>
      </c>
      <c r="C253" s="135" t="n">
        <v>3</v>
      </c>
      <c r="D253" s="136" t="n"/>
      <c r="E253" s="135" t="inlineStr">
        <is>
          <t>Wade</t>
        </is>
      </c>
      <c r="F253" s="148" t="n">
        <v>46346</v>
      </c>
      <c r="G253" s="148" t="n">
        <v>46346</v>
      </c>
      <c r="H253" s="138" t="n">
        <v>1</v>
      </c>
      <c r="I253" s="139" t="n">
        <v>0.33</v>
      </c>
      <c r="J253" s="136" t="inlineStr">
        <is>
          <t>AI生成+人工审核</t>
        </is>
      </c>
      <c r="K253" s="136" t="inlineStr">
        <is>
          <t>2.2.2</t>
        </is>
      </c>
      <c r="L253" s="135" t="n"/>
      <c r="M253" s="135" t="n"/>
      <c r="N253" s="135" t="n"/>
      <c r="O253" s="135" t="n"/>
      <c r="P253" s="135" t="n"/>
      <c r="Q253" s="136" t="inlineStr">
        <is>
          <t>直估0.5·AI执行×0.65</t>
        </is>
      </c>
    </row>
    <row r="254">
      <c r="A254" s="135" t="inlineStr">
        <is>
          <t>5.11.4</t>
        </is>
      </c>
      <c r="B254" s="136" t="inlineStr">
        <is>
          <t>前端预览组件（前端/应用侧）</t>
        </is>
      </c>
      <c r="C254" s="135" t="n">
        <v>3</v>
      </c>
      <c r="D254" s="136" t="n"/>
      <c r="E254" s="135" t="inlineStr">
        <is>
          <t>Wade</t>
        </is>
      </c>
      <c r="F254" s="148" t="n">
        <v>46346</v>
      </c>
      <c r="G254" s="148" t="n">
        <v>46349</v>
      </c>
      <c r="H254" s="138" t="n">
        <v>2</v>
      </c>
      <c r="I254" s="139" t="n">
        <v>0.98</v>
      </c>
      <c r="J254" s="136" t="inlineStr">
        <is>
          <t>AI生成+人工审核</t>
        </is>
      </c>
      <c r="K254" s="136" t="inlineStr">
        <is>
          <t>2.2.2</t>
        </is>
      </c>
      <c r="L254" s="135" t="n"/>
      <c r="M254" s="135" t="n"/>
      <c r="N254" s="135" t="n"/>
      <c r="O254" s="135" t="n"/>
      <c r="P254" s="135" t="n"/>
      <c r="Q254" s="136" t="inlineStr">
        <is>
          <t>直估1.5·AI执行×0.65</t>
        </is>
      </c>
    </row>
    <row r="255">
      <c r="A255" s="135" t="inlineStr">
        <is>
          <t>5.11.5</t>
        </is>
      </c>
      <c r="B255" s="136" t="inlineStr">
        <is>
          <t>预览服务（数据/服务侧）</t>
        </is>
      </c>
      <c r="C255" s="135" t="n">
        <v>3</v>
      </c>
      <c r="D255" s="136" t="n"/>
      <c r="E255" s="135" t="inlineStr">
        <is>
          <t>DevB</t>
        </is>
      </c>
      <c r="F255" s="148" t="n">
        <v>46339</v>
      </c>
      <c r="G255" s="148" t="n">
        <v>46343</v>
      </c>
      <c r="H255" s="138" t="n">
        <v>3</v>
      </c>
      <c r="I255" s="139" t="n">
        <v>1.3</v>
      </c>
      <c r="J255" s="136" t="inlineStr">
        <is>
          <t>AI生成+人工审核</t>
        </is>
      </c>
      <c r="K255" s="136" t="inlineStr">
        <is>
          <t>2.2.2</t>
        </is>
      </c>
      <c r="L255" s="135" t="n"/>
      <c r="M255" s="135" t="n"/>
      <c r="N255" s="135" t="n"/>
      <c r="O255" s="135" t="n"/>
      <c r="P255" s="135" t="n"/>
      <c r="Q255" s="136" t="inlineStr">
        <is>
          <t>直估2·AI执行×0.65</t>
        </is>
      </c>
    </row>
    <row r="256">
      <c r="A256" s="135" t="inlineStr">
        <is>
          <t>5.11.6</t>
        </is>
      </c>
      <c r="B256" s="136" t="inlineStr">
        <is>
          <t>SAS直连与流式加载（数据/服务侧）</t>
        </is>
      </c>
      <c r="C256" s="135" t="n">
        <v>3</v>
      </c>
      <c r="D256" s="136" t="n"/>
      <c r="E256" s="135" t="inlineStr">
        <is>
          <t>DevB</t>
        </is>
      </c>
      <c r="F256" s="148" t="n">
        <v>46343</v>
      </c>
      <c r="G256" s="148" t="n">
        <v>46343</v>
      </c>
      <c r="H256" s="138" t="n">
        <v>1</v>
      </c>
      <c r="I256" s="139" t="n">
        <v>0.65</v>
      </c>
      <c r="J256" s="136" t="inlineStr">
        <is>
          <t>AI生成+人工审核</t>
        </is>
      </c>
      <c r="K256" s="136" t="inlineStr">
        <is>
          <t>2.2.2</t>
        </is>
      </c>
      <c r="L256" s="135" t="n"/>
      <c r="M256" s="135" t="n"/>
      <c r="N256" s="135" t="n"/>
      <c r="O256" s="135" t="n"/>
      <c r="P256" s="135" t="n"/>
      <c r="Q256" s="136" t="inlineStr">
        <is>
          <t>直估1·AI执行×0.65</t>
        </is>
      </c>
    </row>
    <row r="257">
      <c r="A257" s="125" t="inlineStr">
        <is>
          <t>5.12</t>
        </is>
      </c>
      <c r="B257" s="126" t="inlineStr">
        <is>
          <t>F06-02 F06-02 查询操作日志记录</t>
        </is>
      </c>
      <c r="C257" s="125" t="n">
        <v>2</v>
      </c>
      <c r="D257" s="126" t="n"/>
      <c r="E257" s="125" t="inlineStr">
        <is>
          <t>DevB/Mandy/Wade</t>
        </is>
      </c>
      <c r="F257" s="146" t="n">
        <v>46344</v>
      </c>
      <c r="G257" s="146" t="n">
        <v>46360</v>
      </c>
      <c r="H257" s="128" t="n">
        <v>13</v>
      </c>
      <c r="I257" s="129">
        <f>ROUND(SUMPRODUCT(($C$258:$C$261=3)*(LEFT($A$258:$A$261,LEN(A257)+1)=A257&amp;".")*$I$258:$I$261),2)</f>
        <v/>
      </c>
      <c r="J257" s="126" t="n"/>
      <c r="K257" s="126" t="n"/>
      <c r="L257" s="125" t="n"/>
      <c r="M257" s="125" t="n"/>
      <c r="N257" s="125" t="n"/>
      <c r="O257" s="125" t="n"/>
      <c r="P257" s="125" t="n"/>
      <c r="Q257" s="126" t="n"/>
    </row>
    <row r="258">
      <c r="A258" s="135" t="inlineStr">
        <is>
          <t>5.12.1</t>
        </is>
      </c>
      <c r="B258" s="136" t="inlineStr">
        <is>
          <t>测试：用例设计与执行（F06-02·测试左移：AI用例随BA澄清先行、随CI构建持续验证）</t>
        </is>
      </c>
      <c r="C258" s="135" t="n">
        <v>3</v>
      </c>
      <c r="D258" s="136" t="n"/>
      <c r="E258" s="135" t="inlineStr">
        <is>
          <t>Mandy</t>
        </is>
      </c>
      <c r="F258" s="148" t="n">
        <v>46359</v>
      </c>
      <c r="G258" s="148" t="n">
        <v>46359</v>
      </c>
      <c r="H258" s="138" t="n">
        <v>1</v>
      </c>
      <c r="I258" s="139" t="n">
        <v>0.45</v>
      </c>
      <c r="J258" s="136" t="inlineStr">
        <is>
          <t>AI生成用例+人工审校执行</t>
        </is>
      </c>
      <c r="K258" s="136" t="inlineStr">
        <is>
          <t>2.2.2</t>
        </is>
      </c>
      <c r="L258" s="135" t="n"/>
      <c r="M258" s="135" t="n"/>
      <c r="N258" s="135" t="n"/>
      <c r="O258" s="135" t="n"/>
      <c r="P258" s="135" t="n"/>
      <c r="Q258" s="136" t="inlineStr">
        <is>
          <t>直估0.75·AI执行×0.6</t>
        </is>
      </c>
    </row>
    <row r="259">
      <c r="A259" s="135" t="inlineStr">
        <is>
          <t>5.12.2</t>
        </is>
      </c>
      <c r="B259" s="136" t="inlineStr">
        <is>
          <t>SLC文档汇编（F06-02，按功能·初稿随开发滚动AI反生成、定稿见7.1）</t>
        </is>
      </c>
      <c r="C259" s="135" t="n">
        <v>3</v>
      </c>
      <c r="D259" s="136" t="n"/>
      <c r="E259" s="135" t="inlineStr">
        <is>
          <t>Mandy</t>
        </is>
      </c>
      <c r="F259" s="148" t="n">
        <v>46359</v>
      </c>
      <c r="G259" s="148" t="n">
        <v>46360</v>
      </c>
      <c r="H259" s="138" t="n">
        <v>2</v>
      </c>
      <c r="I259" s="139" t="n">
        <v>0.19</v>
      </c>
      <c r="J259" s="136" t="inlineStr">
        <is>
          <t>AI辅助</t>
        </is>
      </c>
      <c r="K259" s="136" t="inlineStr">
        <is>
          <t>2.2.2</t>
        </is>
      </c>
      <c r="L259" s="135" t="n"/>
      <c r="M259" s="135" t="n"/>
      <c r="N259" s="135" t="n"/>
      <c r="O259" s="135" t="n"/>
      <c r="P259" s="135" t="n"/>
      <c r="Q259" s="136" t="inlineStr">
        <is>
          <t>直估0.25·AI执行×0.75</t>
        </is>
      </c>
    </row>
    <row r="260">
      <c r="A260" s="135" t="inlineStr">
        <is>
          <t>5.12.3</t>
        </is>
      </c>
      <c r="B260" s="136" t="inlineStr">
        <is>
          <t>查询/预览行为埋点（前端/应用侧·含服务中间件，DevB瓶颈迁移）</t>
        </is>
      </c>
      <c r="C260" s="135" t="n">
        <v>3</v>
      </c>
      <c r="D260" s="136" t="n"/>
      <c r="E260" s="135" t="inlineStr">
        <is>
          <t>Wade</t>
        </is>
      </c>
      <c r="F260" s="148" t="n">
        <v>46351</v>
      </c>
      <c r="G260" s="148" t="n">
        <v>46351</v>
      </c>
      <c r="H260" s="138" t="n">
        <v>1</v>
      </c>
      <c r="I260" s="139" t="n">
        <v>0.49</v>
      </c>
      <c r="J260" s="136" t="inlineStr">
        <is>
          <t>AI生成+人工审核</t>
        </is>
      </c>
      <c r="K260" s="136" t="inlineStr">
        <is>
          <t>2.2.2</t>
        </is>
      </c>
      <c r="L260" s="135" t="n"/>
      <c r="M260" s="135" t="n"/>
      <c r="N260" s="135" t="n"/>
      <c r="O260" s="135" t="n"/>
      <c r="P260" s="135" t="n"/>
      <c r="Q260" s="136" t="inlineStr">
        <is>
          <t>瓶颈迁移：DevB溢出，移Wade执行；直估0.75·AI执行×0.65</t>
        </is>
      </c>
    </row>
    <row r="261">
      <c r="A261" s="135" t="inlineStr">
        <is>
          <t>5.12.4</t>
        </is>
      </c>
      <c r="B261" s="136" t="inlineStr">
        <is>
          <t>异步批量写入（数据/服务侧）</t>
        </is>
      </c>
      <c r="C261" s="135" t="n">
        <v>3</v>
      </c>
      <c r="D261" s="136" t="n"/>
      <c r="E261" s="135" t="inlineStr">
        <is>
          <t>DevB</t>
        </is>
      </c>
      <c r="F261" s="148" t="n">
        <v>46344</v>
      </c>
      <c r="G261" s="148" t="n">
        <v>46344</v>
      </c>
      <c r="H261" s="138" t="n">
        <v>1</v>
      </c>
      <c r="I261" s="139" t="n">
        <v>0.33</v>
      </c>
      <c r="J261" s="136" t="inlineStr">
        <is>
          <t>AI生成+人工审核</t>
        </is>
      </c>
      <c r="K261" s="136" t="inlineStr">
        <is>
          <t>2.2.2</t>
        </is>
      </c>
      <c r="L261" s="135" t="n"/>
      <c r="M261" s="135" t="n"/>
      <c r="N261" s="135" t="n"/>
      <c r="O261" s="135" t="n"/>
      <c r="P261" s="135" t="n"/>
      <c r="Q261" s="136" t="inlineStr">
        <is>
          <t>直估0.5·AI执行×0.65</t>
        </is>
      </c>
    </row>
    <row r="262">
      <c r="A262" s="125" t="inlineStr">
        <is>
          <t>5.13</t>
        </is>
      </c>
      <c r="B262" s="126" t="inlineStr">
        <is>
          <t>F06-03 F06-03 导出操作日志记录</t>
        </is>
      </c>
      <c r="C262" s="125" t="n">
        <v>2</v>
      </c>
      <c r="D262" s="126" t="n"/>
      <c r="E262" s="125" t="inlineStr">
        <is>
          <t>DevB/Mandy/Wade</t>
        </is>
      </c>
      <c r="F262" s="146" t="n">
        <v>46344</v>
      </c>
      <c r="G262" s="146" t="n">
        <v>46360</v>
      </c>
      <c r="H262" s="128" t="n">
        <v>13</v>
      </c>
      <c r="I262" s="129">
        <f>ROUND(SUMPRODUCT(($C$263:$C$267=3)*(LEFT($A$263:$A$267,LEN(A262)+1)=A262&amp;".")*$I$263:$I$267),2)</f>
        <v/>
      </c>
      <c r="J262" s="126" t="n"/>
      <c r="K262" s="126" t="n"/>
      <c r="L262" s="125" t="n"/>
      <c r="M262" s="125" t="n"/>
      <c r="N262" s="125" t="n"/>
      <c r="O262" s="125" t="n"/>
      <c r="P262" s="125" t="n"/>
      <c r="Q262" s="126" t="n"/>
    </row>
    <row r="263">
      <c r="A263" s="135" t="inlineStr">
        <is>
          <t>5.13.1</t>
        </is>
      </c>
      <c r="B263" s="136" t="inlineStr">
        <is>
          <t>测试：用例设计与执行（F06-03·测试左移：AI用例随BA澄清先行、随CI构建持续验证）</t>
        </is>
      </c>
      <c r="C263" s="135" t="n">
        <v>3</v>
      </c>
      <c r="D263" s="136" t="n"/>
      <c r="E263" s="135" t="inlineStr">
        <is>
          <t>Mandy</t>
        </is>
      </c>
      <c r="F263" s="148" t="n">
        <v>46360</v>
      </c>
      <c r="G263" s="148" t="n">
        <v>46360</v>
      </c>
      <c r="H263" s="138" t="n">
        <v>1</v>
      </c>
      <c r="I263" s="139" t="n">
        <v>0.45</v>
      </c>
      <c r="J263" s="136" t="inlineStr">
        <is>
          <t>AI生成用例+人工审校执行</t>
        </is>
      </c>
      <c r="K263" s="136" t="inlineStr">
        <is>
          <t>2.2.2</t>
        </is>
      </c>
      <c r="L263" s="135" t="n"/>
      <c r="M263" s="135" t="n"/>
      <c r="N263" s="135" t="n"/>
      <c r="O263" s="135" t="n"/>
      <c r="P263" s="135" t="n"/>
      <c r="Q263" s="136" t="inlineStr">
        <is>
          <t>直估0.75·AI执行×0.6</t>
        </is>
      </c>
    </row>
    <row r="264">
      <c r="A264" s="135" t="inlineStr">
        <is>
          <t>5.13.2</t>
        </is>
      </c>
      <c r="B264" s="136" t="inlineStr">
        <is>
          <t>SLC文档汇编（F06-03，按功能·初稿随开发滚动AI反生成、定稿见7.1）</t>
        </is>
      </c>
      <c r="C264" s="135" t="n">
        <v>3</v>
      </c>
      <c r="D264" s="136" t="n"/>
      <c r="E264" s="135" t="inlineStr">
        <is>
          <t>Mandy</t>
        </is>
      </c>
      <c r="F264" s="148" t="n">
        <v>46360</v>
      </c>
      <c r="G264" s="148" t="n">
        <v>46360</v>
      </c>
      <c r="H264" s="138" t="n">
        <v>1</v>
      </c>
      <c r="I264" s="139" t="n">
        <v>0.19</v>
      </c>
      <c r="J264" s="136" t="inlineStr">
        <is>
          <t>AI辅助</t>
        </is>
      </c>
      <c r="K264" s="136" t="inlineStr">
        <is>
          <t>2.2.2</t>
        </is>
      </c>
      <c r="L264" s="135" t="n"/>
      <c r="M264" s="135" t="n"/>
      <c r="N264" s="135" t="n"/>
      <c r="O264" s="135" t="n"/>
      <c r="P264" s="135" t="n"/>
      <c r="Q264" s="136" t="inlineStr">
        <is>
          <t>直估0.25·AI执行×0.75</t>
        </is>
      </c>
    </row>
    <row r="265">
      <c r="A265" s="135" t="inlineStr">
        <is>
          <t>5.13.3</t>
        </is>
      </c>
      <c r="B265" s="136" t="inlineStr">
        <is>
          <t>导出行为审计（前端/应用侧·含服务中间件，DevB瓶颈迁移）</t>
        </is>
      </c>
      <c r="C265" s="135" t="n">
        <v>3</v>
      </c>
      <c r="D265" s="136" t="n"/>
      <c r="E265" s="135" t="inlineStr">
        <is>
          <t>Wade</t>
        </is>
      </c>
      <c r="F265" s="148" t="n">
        <v>46351</v>
      </c>
      <c r="G265" s="148" t="n">
        <v>46352</v>
      </c>
      <c r="H265" s="138" t="n">
        <v>2</v>
      </c>
      <c r="I265" s="139" t="n">
        <v>0.49</v>
      </c>
      <c r="J265" s="136" t="inlineStr">
        <is>
          <t>AI生成+人工审核</t>
        </is>
      </c>
      <c r="K265" s="136" t="inlineStr">
        <is>
          <t>2.2.2</t>
        </is>
      </c>
      <c r="L265" s="135" t="n"/>
      <c r="M265" s="135" t="n"/>
      <c r="N265" s="135" t="n"/>
      <c r="O265" s="135" t="n"/>
      <c r="P265" s="135" t="n"/>
      <c r="Q265" s="136" t="inlineStr">
        <is>
          <t>瓶颈迁移：DevB溢出，移Wade执行；直估0.75·AI执行×0.65</t>
        </is>
      </c>
    </row>
    <row r="266">
      <c r="A266" s="135" t="inlineStr">
        <is>
          <t>5.13.4</t>
        </is>
      </c>
      <c r="B266" s="136" t="inlineStr">
        <is>
          <t>大批量导出告警（前端/应用侧）</t>
        </is>
      </c>
      <c r="C266" s="135" t="n">
        <v>3</v>
      </c>
      <c r="D266" s="136" t="n"/>
      <c r="E266" s="135" t="inlineStr">
        <is>
          <t>Wade</t>
        </is>
      </c>
      <c r="F266" s="148" t="n">
        <v>46352</v>
      </c>
      <c r="G266" s="148" t="n">
        <v>46352</v>
      </c>
      <c r="H266" s="138" t="n">
        <v>1</v>
      </c>
      <c r="I266" s="139" t="n">
        <v>0.33</v>
      </c>
      <c r="J266" s="136" t="inlineStr">
        <is>
          <t>AI生成+人工审核</t>
        </is>
      </c>
      <c r="K266" s="136" t="inlineStr">
        <is>
          <t>2.2.2</t>
        </is>
      </c>
      <c r="L266" s="135" t="n"/>
      <c r="M266" s="135" t="n"/>
      <c r="N266" s="135" t="n"/>
      <c r="O266" s="135" t="n"/>
      <c r="P266" s="135" t="n"/>
      <c r="Q266" s="136" t="inlineStr">
        <is>
          <t>直估0.5·AI执行×0.65</t>
        </is>
      </c>
    </row>
    <row r="267">
      <c r="A267" s="135" t="inlineStr">
        <is>
          <t>5.13.5</t>
        </is>
      </c>
      <c r="B267" s="136" t="inlineStr">
        <is>
          <t>大批量导出告警（数据/服务侧）</t>
        </is>
      </c>
      <c r="C267" s="135" t="n">
        <v>3</v>
      </c>
      <c r="D267" s="136" t="n"/>
      <c r="E267" s="135" t="inlineStr">
        <is>
          <t>DevB</t>
        </is>
      </c>
      <c r="F267" s="148" t="n">
        <v>46344</v>
      </c>
      <c r="G267" s="148" t="n">
        <v>46344</v>
      </c>
      <c r="H267" s="138" t="n">
        <v>1</v>
      </c>
      <c r="I267" s="139" t="n">
        <v>0.16</v>
      </c>
      <c r="J267" s="136" t="inlineStr">
        <is>
          <t>AI生成+人工审核</t>
        </is>
      </c>
      <c r="K267" s="136" t="inlineStr">
        <is>
          <t>2.2.2</t>
        </is>
      </c>
      <c r="L267" s="135" t="n"/>
      <c r="M267" s="135" t="n"/>
      <c r="N267" s="135" t="n"/>
      <c r="O267" s="135" t="n"/>
      <c r="P267" s="135" t="n"/>
      <c r="Q267" s="136" t="inlineStr">
        <is>
          <t>直估0.25·AI执行×0.65</t>
        </is>
      </c>
    </row>
    <row r="268">
      <c r="A268" s="125" t="inlineStr">
        <is>
          <t>5.14</t>
        </is>
      </c>
      <c r="B268" s="126" t="inlineStr">
        <is>
          <t>5.14 全局非功能实现与优化（N3）</t>
        </is>
      </c>
      <c r="C268" s="125" t="n">
        <v>2</v>
      </c>
      <c r="D268" s="126" t="n"/>
      <c r="E268" s="125" t="inlineStr">
        <is>
          <t>DevB/Mandy/Wade</t>
        </is>
      </c>
      <c r="F268" s="146" t="n">
        <v>46353</v>
      </c>
      <c r="G268" s="146" t="n">
        <v>46378</v>
      </c>
      <c r="H268" s="128" t="n">
        <v>18</v>
      </c>
      <c r="I268" s="129">
        <f>ROUND(SUMPRODUCT(($C$269:$C$277=3)*(LEFT($A$269:$A$277,LEN(A268)+1)=A268&amp;".")*$I$269:$I$277),2)</f>
        <v/>
      </c>
      <c r="J268" s="126" t="n"/>
      <c r="K268" s="126" t="n"/>
      <c r="L268" s="125" t="n"/>
      <c r="M268" s="125" t="n"/>
      <c r="N268" s="125" t="n"/>
      <c r="O268" s="125" t="n"/>
      <c r="P268" s="125" t="n"/>
      <c r="Q268" s="126" t="n"/>
    </row>
    <row r="269">
      <c r="A269" s="135" t="inlineStr">
        <is>
          <t>5.14.1</t>
        </is>
      </c>
      <c r="B269" s="136" t="inlineStr">
        <is>
          <t>BA：鉴权与掩码策略澄清（N3）</t>
        </is>
      </c>
      <c r="C269" s="135" t="n">
        <v>3</v>
      </c>
      <c r="D269" s="136" t="n"/>
      <c r="E269" s="135" t="inlineStr">
        <is>
          <t>Mandy</t>
        </is>
      </c>
      <c r="F269" s="148" t="n">
        <v>46360</v>
      </c>
      <c r="G269" s="148" t="n">
        <v>46360</v>
      </c>
      <c r="H269" s="138" t="n">
        <v>1</v>
      </c>
      <c r="I269" s="139" t="n">
        <v>0.19</v>
      </c>
      <c r="J269" s="136" t="inlineStr">
        <is>
          <t>AI辅助</t>
        </is>
      </c>
      <c r="K269" s="136" t="inlineStr">
        <is>
          <t>2.2.2</t>
        </is>
      </c>
      <c r="L269" s="135" t="n"/>
      <c r="M269" s="135" t="n"/>
      <c r="N269" s="135" t="n"/>
      <c r="O269" s="135" t="n"/>
      <c r="P269" s="135" t="n"/>
      <c r="Q269" s="136" t="inlineStr">
        <is>
          <t>直估0.25·AI执行×0.75</t>
        </is>
      </c>
    </row>
    <row r="270">
      <c r="A270" s="135" t="inlineStr">
        <is>
          <t>5.14.2</t>
        </is>
      </c>
      <c r="B270" s="136" t="inlineStr">
        <is>
          <t>测试：非功能专项用例执行（N3：性能/鉴权掩码/可观测/容量）</t>
        </is>
      </c>
      <c r="C270" s="135" t="n">
        <v>3</v>
      </c>
      <c r="D270" s="136" t="n"/>
      <c r="E270" s="135" t="inlineStr">
        <is>
          <t>Mandy</t>
        </is>
      </c>
      <c r="F270" s="148" t="n">
        <v>46374</v>
      </c>
      <c r="G270" s="148" t="n">
        <v>46378</v>
      </c>
      <c r="H270" s="138" t="n">
        <v>3</v>
      </c>
      <c r="I270" s="139" t="n">
        <v>1.5</v>
      </c>
      <c r="J270" s="136" t="inlineStr">
        <is>
          <t>AI生成用例+人工审校执行</t>
        </is>
      </c>
      <c r="K270" s="136" t="n"/>
      <c r="L270" s="135" t="n"/>
      <c r="M270" s="135" t="n"/>
      <c r="N270" s="135" t="n"/>
      <c r="O270" s="135" t="n"/>
      <c r="P270" s="135" t="n"/>
      <c r="Q270" s="136" t="inlineStr">
        <is>
          <t>直估2.5·AI执行×0.6</t>
        </is>
      </c>
    </row>
    <row r="271">
      <c r="A271" s="135" t="inlineStr">
        <is>
          <t>5.14.3</t>
        </is>
      </c>
      <c r="B271" s="136" t="inlineStr">
        <is>
          <t>前端性能优化（懒加载/虚拟滚动/缓存/首屏指标，对照NFR基线）</t>
        </is>
      </c>
      <c r="C271" s="135" t="n">
        <v>3</v>
      </c>
      <c r="D271" s="136" t="n"/>
      <c r="E271" s="135" t="inlineStr">
        <is>
          <t>Wade</t>
        </is>
      </c>
      <c r="F271" s="148" t="n">
        <v>46353</v>
      </c>
      <c r="G271" s="148" t="n">
        <v>46356</v>
      </c>
      <c r="H271" s="138" t="n">
        <v>2</v>
      </c>
      <c r="I271" s="139" t="n">
        <v>1.12</v>
      </c>
      <c r="J271" s="136" t="inlineStr">
        <is>
          <t>AI辅助</t>
        </is>
      </c>
      <c r="K271" s="136" t="inlineStr">
        <is>
          <t>5.11.4,5.13.4</t>
        </is>
      </c>
      <c r="L271" s="135" t="n"/>
      <c r="M271" s="135" t="n"/>
      <c r="N271" s="135" t="n"/>
      <c r="O271" s="135" t="n"/>
      <c r="P271" s="135" t="n"/>
      <c r="Q271" s="136" t="inlineStr">
        <is>
          <t>直估1.5·AI执行×0.75</t>
        </is>
      </c>
    </row>
    <row r="272">
      <c r="A272" s="135" t="inlineStr">
        <is>
          <t>5.14.4</t>
        </is>
      </c>
      <c r="B272" s="136" t="inlineStr">
        <is>
          <t>统一鉴权与数据掩码中间件（菜单/API/行级三层校验、掩码旁路防护·前端侧）</t>
        </is>
      </c>
      <c r="C272" s="135" t="n">
        <v>3</v>
      </c>
      <c r="D272" s="136" t="n"/>
      <c r="E272" s="135" t="inlineStr">
        <is>
          <t>Wade</t>
        </is>
      </c>
      <c r="F272" s="148" t="n">
        <v>46356</v>
      </c>
      <c r="G272" s="148" t="n">
        <v>46356</v>
      </c>
      <c r="H272" s="138" t="n">
        <v>1</v>
      </c>
      <c r="I272" s="139" t="n">
        <v>0.65</v>
      </c>
      <c r="J272" s="136" t="inlineStr">
        <is>
          <t>AI生成+人工审核</t>
        </is>
      </c>
      <c r="K272" s="136" t="inlineStr">
        <is>
          <t>4.5.4</t>
        </is>
      </c>
      <c r="L272" s="135" t="n"/>
      <c r="M272" s="135" t="n"/>
      <c r="N272" s="135" t="n"/>
      <c r="O272" s="135" t="n"/>
      <c r="P272" s="135" t="n"/>
      <c r="Q272" s="136" t="inlineStr">
        <is>
          <t>直估1·AI执行×0.65</t>
        </is>
      </c>
    </row>
    <row r="273">
      <c r="A273" s="135" t="inlineStr">
        <is>
          <t>5.14.5</t>
        </is>
      </c>
      <c r="B273" s="136" t="inlineStr">
        <is>
          <t>可观测性·前端侧（App Insights SDK插桩/仪表盘）</t>
        </is>
      </c>
      <c r="C273" s="135" t="n">
        <v>3</v>
      </c>
      <c r="D273" s="136" t="n"/>
      <c r="E273" s="135" t="inlineStr">
        <is>
          <t>Wade</t>
        </is>
      </c>
      <c r="F273" s="148" t="n">
        <v>46356</v>
      </c>
      <c r="G273" s="148" t="n">
        <v>46357</v>
      </c>
      <c r="H273" s="138" t="n">
        <v>2</v>
      </c>
      <c r="I273" s="139" t="n">
        <v>0.33</v>
      </c>
      <c r="J273" s="136" t="inlineStr">
        <is>
          <t>AI生成+人工审核</t>
        </is>
      </c>
      <c r="K273" s="136" t="inlineStr">
        <is>
          <t>5.13.4</t>
        </is>
      </c>
      <c r="L273" s="135" t="n"/>
      <c r="M273" s="135" t="n"/>
      <c r="N273" s="135" t="n"/>
      <c r="O273" s="135" t="n"/>
      <c r="P273" s="135" t="n"/>
      <c r="Q273" s="136" t="inlineStr">
        <is>
          <t>直估0.5·AI执行×0.65</t>
        </is>
      </c>
    </row>
    <row r="274">
      <c r="A274" s="135" t="inlineStr">
        <is>
          <t>5.14.6</t>
        </is>
      </c>
      <c r="B274" s="136" t="inlineStr">
        <is>
          <t>统一鉴权与数据掩码中间件（应用侧·瓶颈迁移）</t>
        </is>
      </c>
      <c r="C274" s="135" t="n">
        <v>3</v>
      </c>
      <c r="D274" s="136" t="n"/>
      <c r="E274" s="135" t="inlineStr">
        <is>
          <t>Wade</t>
        </is>
      </c>
      <c r="F274" s="148" t="n">
        <v>46357</v>
      </c>
      <c r="G274" s="148" t="n">
        <v>46357</v>
      </c>
      <c r="H274" s="138" t="n">
        <v>1</v>
      </c>
      <c r="I274" s="139" t="n">
        <v>0.65</v>
      </c>
      <c r="J274" s="136" t="inlineStr">
        <is>
          <t>AI生成+人工审核</t>
        </is>
      </c>
      <c r="K274" s="136" t="inlineStr">
        <is>
          <t>4.5.6</t>
        </is>
      </c>
      <c r="L274" s="135" t="n"/>
      <c r="M274" s="135" t="n"/>
      <c r="N274" s="135" t="n"/>
      <c r="O274" s="135" t="n"/>
      <c r="P274" s="135" t="n"/>
      <c r="Q274" s="136" t="inlineStr">
        <is>
          <t>瓶颈迁移：应用中间件移Wade执行；直估1·AI执行×0.65</t>
        </is>
      </c>
    </row>
    <row r="275">
      <c r="A275" s="135" t="inlineStr">
        <is>
          <t>5.14.7</t>
        </is>
      </c>
      <c r="B275" s="136" t="inlineStr">
        <is>
          <t>查询与数据性能（分区裁剪/Z-Order/Compaction/小文件治理）</t>
        </is>
      </c>
      <c r="C275" s="135" t="n">
        <v>3</v>
      </c>
      <c r="D275" s="136" t="n"/>
      <c r="E275" s="135" t="inlineStr">
        <is>
          <t>DevB</t>
        </is>
      </c>
      <c r="F275" s="148" t="n">
        <v>46364</v>
      </c>
      <c r="G275" s="148" t="n">
        <v>46365</v>
      </c>
      <c r="H275" s="138" t="n">
        <v>2</v>
      </c>
      <c r="I275" s="139" t="n">
        <v>1.12</v>
      </c>
      <c r="J275" s="136" t="inlineStr">
        <is>
          <t>AI辅助</t>
        </is>
      </c>
      <c r="K275" s="136" t="inlineStr">
        <is>
          <t>5.13.5</t>
        </is>
      </c>
      <c r="L275" s="135" t="n"/>
      <c r="M275" s="135" t="n"/>
      <c r="N275" s="135" t="n"/>
      <c r="O275" s="135" t="n"/>
      <c r="P275" s="135" t="n"/>
      <c r="Q275" s="136" t="inlineStr">
        <is>
          <t>直估1.5·AI执行×0.75</t>
        </is>
      </c>
    </row>
    <row r="276">
      <c r="A276" s="135" t="inlineStr">
        <is>
          <t>5.14.8</t>
        </is>
      </c>
      <c r="B276" s="136" t="inlineStr">
        <is>
          <t>可观测性（日志/监控/告警）【原生】App Insights/Log Analytics/Azure Monitor：SDK插桩、作业监控对接与仪表盘</t>
        </is>
      </c>
      <c r="C276" s="135" t="n">
        <v>3</v>
      </c>
      <c r="D276" s="136" t="n"/>
      <c r="E276" s="135" t="inlineStr">
        <is>
          <t>DevB</t>
        </is>
      </c>
      <c r="F276" s="148" t="n">
        <v>46365</v>
      </c>
      <c r="G276" s="148" t="n">
        <v>46365</v>
      </c>
      <c r="H276" s="138" t="n">
        <v>1</v>
      </c>
      <c r="I276" s="139" t="n">
        <v>0.49</v>
      </c>
      <c r="J276" s="136" t="inlineStr">
        <is>
          <t>AI生成+人工审核</t>
        </is>
      </c>
      <c r="K276" s="136" t="inlineStr">
        <is>
          <t>5.13.5</t>
        </is>
      </c>
      <c r="L276" s="135" t="n"/>
      <c r="M276" s="135" t="n"/>
      <c r="N276" s="135" t="n"/>
      <c r="O276" s="135" t="n"/>
      <c r="P276" s="135" t="n"/>
      <c r="Q276" s="136" t="inlineStr">
        <is>
          <t>直估0.75·AI执行×0.65</t>
        </is>
      </c>
    </row>
    <row r="277">
      <c r="A277" s="135" t="inlineStr">
        <is>
          <t>5.14.9</t>
        </is>
      </c>
      <c r="B277" s="136" t="inlineStr">
        <is>
          <t>容量与增长验证（600~800表规模扩容压测与容量报告，样本+CC批次外推）</t>
        </is>
      </c>
      <c r="C277" s="135" t="n">
        <v>3</v>
      </c>
      <c r="D277" s="136" t="n"/>
      <c r="E277" s="135" t="inlineStr">
        <is>
          <t>DevB</t>
        </is>
      </c>
      <c r="F277" s="148" t="n">
        <v>46365</v>
      </c>
      <c r="G277" s="148" t="n">
        <v>46366</v>
      </c>
      <c r="H277" s="138" t="n">
        <v>2</v>
      </c>
      <c r="I277" s="139" t="n">
        <v>0.75</v>
      </c>
      <c r="J277" s="136" t="inlineStr">
        <is>
          <t>AI辅助</t>
        </is>
      </c>
      <c r="K277" s="136" t="inlineStr">
        <is>
          <t>4.13.3</t>
        </is>
      </c>
      <c r="L277" s="135" t="n"/>
      <c r="M277" s="135" t="n"/>
      <c r="N277" s="135" t="n"/>
      <c r="O277" s="135" t="n"/>
      <c r="P277" s="135" t="n"/>
      <c r="Q277" s="136" t="inlineStr">
        <is>
          <t>直估1·AI执行×0.75</t>
        </is>
      </c>
    </row>
    <row r="278">
      <c r="A278" s="125" t="inlineStr">
        <is>
          <t>5.15</t>
        </is>
      </c>
      <c r="B278" s="126" t="inlineStr">
        <is>
          <t>5.15 集成项与编码完成</t>
        </is>
      </c>
      <c r="C278" s="125" t="n">
        <v>2</v>
      </c>
      <c r="D278" s="126" t="n"/>
      <c r="E278" s="125" t="inlineStr">
        <is>
          <t>DevB/Mandy</t>
        </is>
      </c>
      <c r="F278" s="146" t="n">
        <v>46370</v>
      </c>
      <c r="G278" s="146" t="n">
        <v>46372</v>
      </c>
      <c r="H278" s="128" t="n">
        <v>3</v>
      </c>
      <c r="I278" s="129">
        <f>ROUND(SUMPRODUCT(($C$279:$C$281=3)*(LEFT($A$279:$A$281,LEN(A278)+1)=A278&amp;".")*$I$279:$I$281),2)</f>
        <v/>
      </c>
      <c r="J278" s="126" t="n"/>
      <c r="K278" s="126" t="n"/>
      <c r="L278" s="125" t="n"/>
      <c r="M278" s="125" t="n"/>
      <c r="N278" s="125" t="n"/>
      <c r="O278" s="125" t="n"/>
      <c r="P278" s="125" t="n"/>
      <c r="Q278" s="126" t="n"/>
    </row>
    <row r="279">
      <c r="A279" s="135" t="inlineStr">
        <is>
          <t>5.15.1</t>
        </is>
      </c>
      <c r="B279" s="136" t="inlineStr">
        <is>
          <t>26项功能完整性核对（追踪矩阵逐项）</t>
        </is>
      </c>
      <c r="C279" s="135" t="n">
        <v>3</v>
      </c>
      <c r="D279" s="136" t="n"/>
      <c r="E279" s="135" t="inlineStr">
        <is>
          <t>Mandy</t>
        </is>
      </c>
      <c r="F279" s="148" t="n">
        <v>46370</v>
      </c>
      <c r="G279" s="148" t="n">
        <v>46371</v>
      </c>
      <c r="H279" s="138" t="n">
        <v>2</v>
      </c>
      <c r="I279" s="139" t="n">
        <v>0.75</v>
      </c>
      <c r="J279" s="136" t="inlineStr">
        <is>
          <t>AI辅助</t>
        </is>
      </c>
      <c r="K279" s="136" t="inlineStr">
        <is>
          <t>5.1.2,5.2.2,5.3.2,5.4.2,5.5.2,5.6.2,5.8.1,5.9.1,5.10.1,5.11.1,5.7.2,5.12.1,5.13.1</t>
        </is>
      </c>
      <c r="L279" s="135" t="n"/>
      <c r="M279" s="135" t="n"/>
      <c r="N279" s="135" t="n"/>
      <c r="O279" s="135" t="n"/>
      <c r="P279" s="135" t="n"/>
      <c r="Q279" s="136" t="inlineStr">
        <is>
          <t>直估1·AI执行×0.75</t>
        </is>
      </c>
    </row>
    <row r="280">
      <c r="A280" s="130" t="inlineStr">
        <is>
          <t>5.15.2</t>
        </is>
      </c>
      <c r="B280" s="131" t="inlineStr">
        <is>
          <t>26项功能编码完成+走查签字◆M4</t>
        </is>
      </c>
      <c r="C280" s="130" t="n">
        <v>3</v>
      </c>
      <c r="D280" s="131" t="inlineStr">
        <is>
          <t>走查签字单、追踪矩阵26/26</t>
        </is>
      </c>
      <c r="E280" s="130" t="inlineStr">
        <is>
          <t>Mandy</t>
        </is>
      </c>
      <c r="F280" s="147" t="n">
        <v>46372</v>
      </c>
      <c r="G280" s="147" t="n">
        <v>46372</v>
      </c>
      <c r="H280" s="133" t="n">
        <v>1</v>
      </c>
      <c r="I280" s="134" t="n">
        <v>0.5</v>
      </c>
      <c r="J280" s="131" t="inlineStr">
        <is>
          <t>人工主导</t>
        </is>
      </c>
      <c r="K280" s="131" t="inlineStr">
        <is>
          <t>5.1.8,5.2.8,5.3.6,5.4.7,5.5.8,5.6.8,5.10.5,5.11.6,5.7.7,5.12.4,5.13.5,5.15.1</t>
        </is>
      </c>
      <c r="L280" s="130" t="n"/>
      <c r="M280" s="130" t="n"/>
      <c r="N280" s="130" t="n"/>
      <c r="O280" s="130" t="n"/>
      <c r="P280" s="130" t="n"/>
      <c r="Q280" s="131" t="inlineStr">
        <is>
          <t>直估0.5·AI执行×1</t>
        </is>
      </c>
    </row>
    <row r="281">
      <c r="A281" s="135" t="inlineStr">
        <is>
          <t>5.15.3</t>
        </is>
      </c>
      <c r="B281" s="136" t="inlineStr">
        <is>
          <t>增量数据接入作业框架（在运系统冷数据周期接入）——移上线后首月运维窗口执行</t>
        </is>
      </c>
      <c r="C281" s="135" t="n">
        <v>3</v>
      </c>
      <c r="D281" s="136" t="n"/>
      <c r="E281" s="135" t="inlineStr">
        <is>
          <t>DevB</t>
        </is>
      </c>
      <c r="F281" s="148" t="n">
        <v>46372</v>
      </c>
      <c r="G281" s="148" t="n">
        <v>46372</v>
      </c>
      <c r="H281" s="138" t="n">
        <v>1</v>
      </c>
      <c r="I281" s="139" t="n">
        <v>0</v>
      </c>
      <c r="J281" s="136" t="inlineStr">
        <is>
          <t>人工主导</t>
        </is>
      </c>
      <c r="K281" s="136" t="inlineStr">
        <is>
          <t>5.15.2</t>
        </is>
      </c>
      <c r="L281" s="135" t="n"/>
      <c r="M281" s="135" t="n"/>
      <c r="N281" s="135" t="n"/>
      <c r="O281" s="135" t="n"/>
      <c r="P281" s="135" t="n"/>
      <c r="Q281" s="136" t="inlineStr">
        <is>
          <t>直估1人天·B计划：不占本期窗口，上线后首月实施；直估0·AI执行×1</t>
        </is>
      </c>
    </row>
    <row r="282">
      <c r="A282" s="120" t="inlineStr">
        <is>
          <t>6</t>
        </is>
      </c>
      <c r="B282" s="121" t="inlineStr">
        <is>
          <t>集成、质量治理与CC真实数据迁移演练</t>
        </is>
      </c>
      <c r="C282" s="120" t="n">
        <v>1</v>
      </c>
      <c r="D282" s="121" t="n"/>
      <c r="E282" s="120" t="inlineStr">
        <is>
          <t>DevB/Mandy/Mark/Wade</t>
        </is>
      </c>
      <c r="F282" s="145" t="n">
        <v>46293</v>
      </c>
      <c r="G282" s="145" t="n">
        <v>46384</v>
      </c>
      <c r="H282" s="123" t="n">
        <v>61</v>
      </c>
      <c r="I282" s="124">
        <f>ROUND(SUMPRODUCT(($C$283:$C$312=3)*(LEFT($A$283:$A$312,LEN(A282)+1)=A282&amp;".")*$I$283:$I$312),2)</f>
        <v/>
      </c>
      <c r="J282" s="121" t="n"/>
      <c r="K282" s="121" t="n"/>
      <c r="L282" s="120" t="n"/>
      <c r="M282" s="120" t="n"/>
      <c r="N282" s="120" t="n"/>
      <c r="O282" s="120" t="n"/>
      <c r="P282" s="120" t="n"/>
      <c r="Q282" s="121" t="n"/>
    </row>
    <row r="283">
      <c r="A283" s="125" t="inlineStr">
        <is>
          <t>6.1</t>
        </is>
      </c>
      <c r="B283" s="126" t="inlineStr">
        <is>
          <t>6.1 代码质量与静态扫描治理（N2）</t>
        </is>
      </c>
      <c r="C283" s="125" t="n">
        <v>2</v>
      </c>
      <c r="D283" s="126" t="n"/>
      <c r="E283" s="125" t="inlineStr">
        <is>
          <t>DevB/Mandy/Wade</t>
        </is>
      </c>
      <c r="F283" s="146" t="n">
        <v>46344</v>
      </c>
      <c r="G283" s="146" t="n">
        <v>46384</v>
      </c>
      <c r="H283" s="128" t="n">
        <v>29</v>
      </c>
      <c r="I283" s="129">
        <f>ROUND(SUMPRODUCT(($C$284:$C$293=3)*(LEFT($A$284:$A$293,LEN(A283)+1)=A283&amp;".")*$I$284:$I$293),2)</f>
        <v/>
      </c>
      <c r="J283" s="126" t="n"/>
      <c r="K283" s="126" t="n"/>
      <c r="L283" s="125" t="n"/>
      <c r="M283" s="125" t="n"/>
      <c r="N283" s="125" t="n"/>
      <c r="O283" s="125" t="n"/>
      <c r="P283" s="125" t="n"/>
      <c r="Q283" s="126" t="n"/>
    </row>
    <row r="284">
      <c r="A284" s="135" t="inlineStr">
        <is>
          <t>6.1.1</t>
        </is>
      </c>
      <c r="B284" s="136" t="inlineStr">
        <is>
          <t>测试：质量治理抽检（N2）</t>
        </is>
      </c>
      <c r="C284" s="135" t="n">
        <v>3</v>
      </c>
      <c r="D284" s="136" t="n"/>
      <c r="E284" s="135" t="inlineStr">
        <is>
          <t>Mandy</t>
        </is>
      </c>
      <c r="F284" s="148" t="n">
        <v>46381</v>
      </c>
      <c r="G284" s="148" t="n">
        <v>46381</v>
      </c>
      <c r="H284" s="138" t="n">
        <v>1</v>
      </c>
      <c r="I284" s="139" t="n">
        <v>0.3</v>
      </c>
      <c r="J284" s="136" t="inlineStr">
        <is>
          <t>AI生成用例+人工审校执行</t>
        </is>
      </c>
      <c r="K284" s="136" t="n"/>
      <c r="L284" s="135" t="n"/>
      <c r="M284" s="135" t="n"/>
      <c r="N284" s="135" t="n"/>
      <c r="O284" s="135" t="n"/>
      <c r="P284" s="135" t="n"/>
      <c r="Q284" s="136" t="inlineStr">
        <is>
          <t>直估0.5·AI执行×0.6</t>
        </is>
      </c>
    </row>
    <row r="285">
      <c r="A285" s="135" t="inlineStr">
        <is>
          <t>6.1.2</t>
        </is>
      </c>
      <c r="B285" s="136" t="inlineStr">
        <is>
          <t>SLC文档汇编：质量治理（N2）</t>
        </is>
      </c>
      <c r="C285" s="135" t="n">
        <v>3</v>
      </c>
      <c r="D285" s="136" t="n"/>
      <c r="E285" s="135" t="inlineStr">
        <is>
          <t>Mandy</t>
        </is>
      </c>
      <c r="F285" s="148" t="n">
        <v>46384</v>
      </c>
      <c r="G285" s="148" t="n">
        <v>46384</v>
      </c>
      <c r="H285" s="138" t="n">
        <v>1</v>
      </c>
      <c r="I285" s="139" t="n">
        <v>0.19</v>
      </c>
      <c r="J285" s="136" t="inlineStr">
        <is>
          <t>AI辅助</t>
        </is>
      </c>
      <c r="K285" s="136" t="inlineStr">
        <is>
          <t>6.1.1</t>
        </is>
      </c>
      <c r="L285" s="135" t="n"/>
      <c r="M285" s="135" t="n"/>
      <c r="N285" s="135" t="n"/>
      <c r="O285" s="135" t="n"/>
      <c r="P285" s="135" t="n"/>
      <c r="Q285" s="136" t="inlineStr">
        <is>
          <t>直估0.25·AI执行×0.75</t>
        </is>
      </c>
    </row>
    <row r="286">
      <c r="A286" s="135" t="inlineStr">
        <is>
          <t>6.1.3</t>
        </is>
      </c>
      <c r="B286" s="136" t="inlineStr">
        <is>
          <t>前端ESLint/Prettier规约（规则集接入CI、存量告警清零、格式统一）</t>
        </is>
      </c>
      <c r="C286" s="135" t="n">
        <v>3</v>
      </c>
      <c r="D286" s="136" t="n"/>
      <c r="E286" s="135" t="inlineStr">
        <is>
          <t>Wade</t>
        </is>
      </c>
      <c r="F286" s="148" t="n">
        <v>46377</v>
      </c>
      <c r="G286" s="148" t="n">
        <v>46378</v>
      </c>
      <c r="H286" s="138" t="n">
        <v>2</v>
      </c>
      <c r="I286" s="139" t="n">
        <v>1.12</v>
      </c>
      <c r="J286" s="136" t="inlineStr">
        <is>
          <t>AI辅助</t>
        </is>
      </c>
      <c r="K286" s="136" t="inlineStr">
        <is>
          <t>4.13.3</t>
        </is>
      </c>
      <c r="L286" s="135" t="n"/>
      <c r="M286" s="135" t="n"/>
      <c r="N286" s="135" t="n"/>
      <c r="O286" s="135" t="n"/>
      <c r="P286" s="135" t="n"/>
      <c r="Q286" s="136" t="inlineStr">
        <is>
          <t>直估1.5·AI执行×0.75</t>
        </is>
      </c>
    </row>
    <row r="287">
      <c r="A287" s="135" t="inlineStr">
        <is>
          <t>6.1.4</t>
        </is>
      </c>
      <c r="B287" s="136" t="inlineStr">
        <is>
          <t>SAST安全告警修复（硬编码密钥/注入/越权路径等·前端/应用）</t>
        </is>
      </c>
      <c r="C287" s="135" t="n">
        <v>3</v>
      </c>
      <c r="D287" s="136" t="n"/>
      <c r="E287" s="135" t="inlineStr">
        <is>
          <t>Wade</t>
        </is>
      </c>
      <c r="F287" s="148" t="n">
        <v>46378</v>
      </c>
      <c r="G287" s="148" t="n">
        <v>46379</v>
      </c>
      <c r="H287" s="138" t="n">
        <v>2</v>
      </c>
      <c r="I287" s="139" t="n">
        <v>0.75</v>
      </c>
      <c r="J287" s="136" t="inlineStr">
        <is>
          <t>AI辅助</t>
        </is>
      </c>
      <c r="K287" s="136" t="inlineStr">
        <is>
          <t>4.13.3</t>
        </is>
      </c>
      <c r="L287" s="135" t="n"/>
      <c r="M287" s="135" t="n"/>
      <c r="N287" s="135" t="n"/>
      <c r="O287" s="135" t="n"/>
      <c r="P287" s="135" t="n"/>
      <c r="Q287" s="136" t="inlineStr">
        <is>
          <t>直估1·AI执行×0.75</t>
        </is>
      </c>
    </row>
    <row r="288">
      <c r="A288" s="135" t="inlineStr">
        <is>
          <t>6.1.5</t>
        </is>
      </c>
      <c r="B288" s="136" t="inlineStr">
        <is>
          <t>依赖漏洞治理（SCA·前端：版本锁定、漏洞升级、SBOM）</t>
        </is>
      </c>
      <c r="C288" s="135" t="n">
        <v>3</v>
      </c>
      <c r="D288" s="136" t="n"/>
      <c r="E288" s="135" t="inlineStr">
        <is>
          <t>Wade</t>
        </is>
      </c>
      <c r="F288" s="148" t="n">
        <v>46379</v>
      </c>
      <c r="G288" s="148" t="n">
        <v>46379</v>
      </c>
      <c r="H288" s="138" t="n">
        <v>1</v>
      </c>
      <c r="I288" s="139" t="n">
        <v>0.38</v>
      </c>
      <c r="J288" s="136" t="inlineStr">
        <is>
          <t>AI辅助</t>
        </is>
      </c>
      <c r="K288" s="136" t="inlineStr">
        <is>
          <t>4.13.3</t>
        </is>
      </c>
      <c r="L288" s="135" t="n"/>
      <c r="M288" s="135" t="n"/>
      <c r="N288" s="135" t="n"/>
      <c r="O288" s="135" t="n"/>
      <c r="P288" s="135" t="n"/>
      <c r="Q288" s="136" t="inlineStr">
        <is>
          <t>直估0.5·AI执行×0.75</t>
        </is>
      </c>
    </row>
    <row r="289">
      <c r="A289" s="135" t="inlineStr">
        <is>
          <t>6.1.6</t>
        </is>
      </c>
      <c r="B289" s="136" t="inlineStr">
        <is>
          <t>技术债偿还与外部评审落实（A侧）</t>
        </is>
      </c>
      <c r="C289" s="135" t="n">
        <v>3</v>
      </c>
      <c r="D289" s="136" t="n"/>
      <c r="E289" s="135" t="inlineStr">
        <is>
          <t>Wade</t>
        </is>
      </c>
      <c r="F289" s="148" t="n">
        <v>46379</v>
      </c>
      <c r="G289" s="148" t="n">
        <v>46380</v>
      </c>
      <c r="H289" s="138" t="n">
        <v>2</v>
      </c>
      <c r="I289" s="139" t="n">
        <v>1</v>
      </c>
      <c r="J289" s="136" t="inlineStr">
        <is>
          <t>人工主导</t>
        </is>
      </c>
      <c r="K289" s="136" t="inlineStr">
        <is>
          <t>4.13.3</t>
        </is>
      </c>
      <c r="L289" s="135" t="n"/>
      <c r="M289" s="135" t="n"/>
      <c r="N289" s="135" t="n"/>
      <c r="O289" s="135" t="n"/>
      <c r="P289" s="135" t="n"/>
      <c r="Q289" s="136" t="inlineStr">
        <is>
          <t>直估1·AI执行×1</t>
        </is>
      </c>
    </row>
    <row r="290">
      <c r="A290" s="135" t="inlineStr">
        <is>
          <t>6.1.7</t>
        </is>
      </c>
      <c r="B290" s="136" t="inlineStr">
        <is>
          <t>后端SonarLint规约（代码异味/重复块/复杂度阈值治理清零）</t>
        </is>
      </c>
      <c r="C290" s="135" t="n">
        <v>3</v>
      </c>
      <c r="D290" s="136" t="n"/>
      <c r="E290" s="135" t="inlineStr">
        <is>
          <t>DevB</t>
        </is>
      </c>
      <c r="F290" s="148" t="n">
        <v>46344</v>
      </c>
      <c r="G290" s="148" t="n">
        <v>46345</v>
      </c>
      <c r="H290" s="138" t="n">
        <v>2</v>
      </c>
      <c r="I290" s="139" t="n">
        <v>1.12</v>
      </c>
      <c r="J290" s="136" t="inlineStr">
        <is>
          <t>AI辅助</t>
        </is>
      </c>
      <c r="K290" s="136" t="inlineStr">
        <is>
          <t>4.13.3</t>
        </is>
      </c>
      <c r="L290" s="135" t="n"/>
      <c r="M290" s="135" t="n"/>
      <c r="N290" s="135" t="n"/>
      <c r="O290" s="135" t="n"/>
      <c r="P290" s="135" t="n"/>
      <c r="Q290" s="136" t="inlineStr">
        <is>
          <t>直估1.5·AI执行×0.75</t>
        </is>
      </c>
    </row>
    <row r="291">
      <c r="A291" s="135" t="inlineStr">
        <is>
          <t>6.1.8</t>
        </is>
      </c>
      <c r="B291" s="136" t="inlineStr">
        <is>
          <t>SAST安全告警修复（数据/服务侧）</t>
        </is>
      </c>
      <c r="C291" s="135" t="n">
        <v>3</v>
      </c>
      <c r="D291" s="136" t="n"/>
      <c r="E291" s="135" t="inlineStr">
        <is>
          <t>DevB</t>
        </is>
      </c>
      <c r="F291" s="148" t="n">
        <v>46345</v>
      </c>
      <c r="G291" s="148" t="n">
        <v>46346</v>
      </c>
      <c r="H291" s="138" t="n">
        <v>2</v>
      </c>
      <c r="I291" s="139" t="n">
        <v>0.75</v>
      </c>
      <c r="J291" s="136" t="inlineStr">
        <is>
          <t>AI辅助</t>
        </is>
      </c>
      <c r="K291" s="136" t="inlineStr">
        <is>
          <t>4.13.3</t>
        </is>
      </c>
      <c r="L291" s="135" t="n"/>
      <c r="M291" s="135" t="n"/>
      <c r="N291" s="135" t="n"/>
      <c r="O291" s="135" t="n"/>
      <c r="P291" s="135" t="n"/>
      <c r="Q291" s="136" t="inlineStr">
        <is>
          <t>直估1·AI执行×0.75</t>
        </is>
      </c>
    </row>
    <row r="292">
      <c r="A292" s="135" t="inlineStr">
        <is>
          <t>6.1.9</t>
        </is>
      </c>
      <c r="B292" s="136" t="inlineStr">
        <is>
          <t>依赖漏洞治理（SCA·后端）</t>
        </is>
      </c>
      <c r="C292" s="135" t="n">
        <v>3</v>
      </c>
      <c r="D292" s="136" t="n"/>
      <c r="E292" s="135" t="inlineStr">
        <is>
          <t>DevB</t>
        </is>
      </c>
      <c r="F292" s="148" t="n">
        <v>46346</v>
      </c>
      <c r="G292" s="148" t="n">
        <v>46349</v>
      </c>
      <c r="H292" s="138" t="n">
        <v>2</v>
      </c>
      <c r="I292" s="139" t="n">
        <v>0.38</v>
      </c>
      <c r="J292" s="136" t="inlineStr">
        <is>
          <t>AI辅助</t>
        </is>
      </c>
      <c r="K292" s="136" t="inlineStr">
        <is>
          <t>4.13.3</t>
        </is>
      </c>
      <c r="L292" s="135" t="n"/>
      <c r="M292" s="135" t="n"/>
      <c r="N292" s="135" t="n"/>
      <c r="O292" s="135" t="n"/>
      <c r="P292" s="135" t="n"/>
      <c r="Q292" s="136" t="inlineStr">
        <is>
          <t>直估0.5·AI执行×0.75</t>
        </is>
      </c>
    </row>
    <row r="293">
      <c r="A293" s="135" t="inlineStr">
        <is>
          <t>6.1.10</t>
        </is>
      </c>
      <c r="B293" s="136" t="inlineStr">
        <is>
          <t>技术债偿还与外部评审落实（B侧）</t>
        </is>
      </c>
      <c r="C293" s="135" t="n">
        <v>3</v>
      </c>
      <c r="D293" s="136" t="n"/>
      <c r="E293" s="135" t="inlineStr">
        <is>
          <t>DevB</t>
        </is>
      </c>
      <c r="F293" s="148" t="n">
        <v>46349</v>
      </c>
      <c r="G293" s="148" t="n">
        <v>46350</v>
      </c>
      <c r="H293" s="138" t="n">
        <v>2</v>
      </c>
      <c r="I293" s="139" t="n">
        <v>1</v>
      </c>
      <c r="J293" s="136" t="inlineStr">
        <is>
          <t>人工主导</t>
        </is>
      </c>
      <c r="K293" s="136" t="inlineStr">
        <is>
          <t>4.13.3</t>
        </is>
      </c>
      <c r="L293" s="135" t="n"/>
      <c r="M293" s="135" t="n"/>
      <c r="N293" s="135" t="n"/>
      <c r="O293" s="135" t="n"/>
      <c r="P293" s="135" t="n"/>
      <c r="Q293" s="136" t="inlineStr">
        <is>
          <t>直估1·AI执行×1</t>
        </is>
      </c>
    </row>
    <row r="294">
      <c r="A294" s="125" t="inlineStr">
        <is>
          <t>6.2</t>
        </is>
      </c>
      <c r="B294" s="126" t="inlineStr">
        <is>
          <t>6.2 全链路集成与CC适配（Wade）</t>
        </is>
      </c>
      <c r="C294" s="125" t="n">
        <v>2</v>
      </c>
      <c r="D294" s="126" t="n"/>
      <c r="E294" s="125" t="inlineStr">
        <is>
          <t>Wade</t>
        </is>
      </c>
      <c r="F294" s="146" t="n">
        <v>46357</v>
      </c>
      <c r="G294" s="146" t="n">
        <v>46365</v>
      </c>
      <c r="H294" s="128" t="n">
        <v>7</v>
      </c>
      <c r="I294" s="129">
        <f>ROUND(SUMPRODUCT(($C$295:$C$298=3)*(LEFT($A$295:$A$298,LEN(A294)+1)=A294&amp;".")*$I$295:$I$298),2)</f>
        <v/>
      </c>
      <c r="J294" s="126" t="n"/>
      <c r="K294" s="126" t="n"/>
      <c r="L294" s="125" t="n"/>
      <c r="M294" s="125" t="n"/>
      <c r="N294" s="125" t="n"/>
      <c r="O294" s="125" t="n"/>
      <c r="P294" s="125" t="n"/>
      <c r="Q294" s="126" t="n"/>
    </row>
    <row r="295">
      <c r="A295" s="135" t="inlineStr">
        <is>
          <t>6.2.1</t>
        </is>
      </c>
      <c r="B295" s="136" t="inlineStr">
        <is>
          <t>全链路集成联调（CC真实数据：登录→检索→预览→导出→审计）</t>
        </is>
      </c>
      <c r="C295" s="135" t="n">
        <v>3</v>
      </c>
      <c r="D295" s="136" t="n"/>
      <c r="E295" s="135" t="inlineStr">
        <is>
          <t>Wade</t>
        </is>
      </c>
      <c r="F295" s="148" t="n">
        <v>46357</v>
      </c>
      <c r="G295" s="148" t="n">
        <v>46359</v>
      </c>
      <c r="H295" s="138" t="n">
        <v>3</v>
      </c>
      <c r="I295" s="139" t="n">
        <v>2</v>
      </c>
      <c r="J295" s="136" t="inlineStr">
        <is>
          <t>人工主导</t>
        </is>
      </c>
      <c r="K295" s="136" t="inlineStr">
        <is>
          <t>4.13.3</t>
        </is>
      </c>
      <c r="L295" s="135" t="n"/>
      <c r="M295" s="135" t="n"/>
      <c r="N295" s="135" t="n"/>
      <c r="O295" s="135" t="n"/>
      <c r="P295" s="135" t="n"/>
      <c r="Q295" s="136" t="inlineStr">
        <is>
          <t>直估2·AI执行×1</t>
        </is>
      </c>
    </row>
    <row r="296">
      <c r="A296" s="135" t="inlineStr">
        <is>
          <t>6.2.2</t>
        </is>
      </c>
      <c r="B296" s="136" t="inlineStr">
        <is>
          <t>CC数据界面适配（字段类型/格式差异，F05检索/预览真实数据兼容）</t>
        </is>
      </c>
      <c r="C296" s="135" t="n">
        <v>3</v>
      </c>
      <c r="D296" s="136" t="n"/>
      <c r="E296" s="135" t="inlineStr">
        <is>
          <t>Wade</t>
        </is>
      </c>
      <c r="F296" s="148" t="n">
        <v>46359</v>
      </c>
      <c r="G296" s="148" t="n">
        <v>46363</v>
      </c>
      <c r="H296" s="138" t="n">
        <v>3</v>
      </c>
      <c r="I296" s="139" t="n">
        <v>1.95</v>
      </c>
      <c r="J296" s="136" t="inlineStr">
        <is>
          <t>AI生成+人工审核</t>
        </is>
      </c>
      <c r="K296" s="136" t="n"/>
      <c r="L296" s="135" t="n"/>
      <c r="M296" s="135" t="n"/>
      <c r="N296" s="135" t="n"/>
      <c r="O296" s="135" t="n"/>
      <c r="P296" s="135" t="n"/>
      <c r="Q296" s="136" t="inlineStr">
        <is>
          <t>直估3·AI执行×0.65</t>
        </is>
      </c>
    </row>
    <row r="297">
      <c r="A297" s="135" t="inlineStr">
        <is>
          <t>6.2.3</t>
        </is>
      </c>
      <c r="B297" s="136" t="inlineStr">
        <is>
          <t>前端缺陷修复轮1</t>
        </is>
      </c>
      <c r="C297" s="135" t="n">
        <v>3</v>
      </c>
      <c r="D297" s="136" t="n"/>
      <c r="E297" s="135" t="inlineStr">
        <is>
          <t>Wade</t>
        </is>
      </c>
      <c r="F297" s="148" t="n">
        <v>46363</v>
      </c>
      <c r="G297" s="148" t="n">
        <v>46364</v>
      </c>
      <c r="H297" s="138" t="n">
        <v>2</v>
      </c>
      <c r="I297" s="139" t="n">
        <v>0.75</v>
      </c>
      <c r="J297" s="136" t="inlineStr">
        <is>
          <t>AI辅助</t>
        </is>
      </c>
      <c r="K297" s="136" t="n"/>
      <c r="L297" s="135" t="n"/>
      <c r="M297" s="135" t="n"/>
      <c r="N297" s="135" t="n"/>
      <c r="O297" s="135" t="n"/>
      <c r="P297" s="135" t="n"/>
      <c r="Q297" s="136" t="inlineStr">
        <is>
          <t>直估1·AI执行×0.75</t>
        </is>
      </c>
    </row>
    <row r="298">
      <c r="A298" s="135" t="inlineStr">
        <is>
          <t>6.2.4</t>
        </is>
      </c>
      <c r="B298" s="136" t="inlineStr">
        <is>
          <t>缺陷修复收敛（前端P0/P1清零）</t>
        </is>
      </c>
      <c r="C298" s="135" t="n">
        <v>3</v>
      </c>
      <c r="D298" s="136" t="n"/>
      <c r="E298" s="135" t="inlineStr">
        <is>
          <t>Wade</t>
        </is>
      </c>
      <c r="F298" s="148" t="n">
        <v>46364</v>
      </c>
      <c r="G298" s="148" t="n">
        <v>46365</v>
      </c>
      <c r="H298" s="138" t="n">
        <v>2</v>
      </c>
      <c r="I298" s="139" t="n">
        <v>1.5</v>
      </c>
      <c r="J298" s="136" t="inlineStr">
        <is>
          <t>AI辅助</t>
        </is>
      </c>
      <c r="K298" s="136" t="n"/>
      <c r="L298" s="135" t="n"/>
      <c r="M298" s="135" t="n"/>
      <c r="N298" s="135" t="n"/>
      <c r="O298" s="135" t="n"/>
      <c r="P298" s="135" t="n"/>
      <c r="Q298" s="136" t="inlineStr">
        <is>
          <t>直估2·AI执行×0.75</t>
        </is>
      </c>
    </row>
    <row r="299">
      <c r="A299" s="125" t="inlineStr">
        <is>
          <t>6.3</t>
        </is>
      </c>
      <c r="B299" s="126" t="inlineStr">
        <is>
          <t>6.3 CC迁移演练与数据收敛（DevB·关键路径）</t>
        </is>
      </c>
      <c r="C299" s="125" t="n">
        <v>2</v>
      </c>
      <c r="D299" s="126" t="n"/>
      <c r="E299" s="125" t="inlineStr">
        <is>
          <t>DevB</t>
        </is>
      </c>
      <c r="F299" s="146" t="n">
        <v>46350</v>
      </c>
      <c r="G299" s="146" t="n">
        <v>46363</v>
      </c>
      <c r="H299" s="128" t="n">
        <v>10</v>
      </c>
      <c r="I299" s="129">
        <f>ROUND(SUMPRODUCT(($C$300:$C$305=3)*(LEFT($A$300:$A$305,LEN(A299)+1)=A299&amp;".")*$I$300:$I$305),2)</f>
        <v/>
      </c>
      <c r="J299" s="126" t="n"/>
      <c r="K299" s="126" t="n"/>
      <c r="L299" s="125" t="n"/>
      <c r="M299" s="125" t="n"/>
      <c r="N299" s="125" t="n"/>
      <c r="O299" s="125" t="n"/>
      <c r="P299" s="125" t="n"/>
      <c r="Q299" s="126" t="n"/>
    </row>
    <row r="300">
      <c r="A300" s="135" t="inlineStr">
        <is>
          <t>6.3.1</t>
        </is>
      </c>
      <c r="B300" s="136" t="inlineStr">
        <is>
          <t>CC真实数据迁移演练I：1253表扫描分类→600~800有效表分批迁移启动</t>
        </is>
      </c>
      <c r="C300" s="135" t="n">
        <v>3</v>
      </c>
      <c r="D300" s="136" t="n"/>
      <c r="E300" s="135" t="inlineStr">
        <is>
          <t>DevB</t>
        </is>
      </c>
      <c r="F300" s="148" t="n">
        <v>46350</v>
      </c>
      <c r="G300" s="148" t="n">
        <v>46353</v>
      </c>
      <c r="H300" s="138" t="n">
        <v>4</v>
      </c>
      <c r="I300" s="139" t="n">
        <v>3.15</v>
      </c>
      <c r="J300" s="136" t="inlineStr">
        <is>
          <t>自动化流水线</t>
        </is>
      </c>
      <c r="K300" s="136" t="inlineStr">
        <is>
          <t>4.13.3,4.10.6,4.12.6</t>
        </is>
      </c>
      <c r="L300" s="135" t="n"/>
      <c r="M300" s="135" t="n"/>
      <c r="N300" s="135" t="n"/>
      <c r="O300" s="135" t="n"/>
      <c r="P300" s="135" t="n"/>
      <c r="Q300" s="136" t="inlineStr">
        <is>
          <t>直估3.5·AI执行×0.9</t>
        </is>
      </c>
    </row>
    <row r="301">
      <c r="A301" s="135" t="inlineStr">
        <is>
          <t>6.3.2</t>
        </is>
      </c>
      <c r="B301" s="136" t="inlineStr">
        <is>
          <t>迁移演练II：逐批对账+数据问题处理（SQL Server特有类型/脏数据/小文件合并）</t>
        </is>
      </c>
      <c r="C301" s="135" t="n">
        <v>3</v>
      </c>
      <c r="D301" s="136" t="n"/>
      <c r="E301" s="135" t="inlineStr">
        <is>
          <t>DevB</t>
        </is>
      </c>
      <c r="F301" s="148" t="n">
        <v>46353</v>
      </c>
      <c r="G301" s="148" t="n">
        <v>46357</v>
      </c>
      <c r="H301" s="138" t="n">
        <v>3</v>
      </c>
      <c r="I301" s="139" t="n">
        <v>1.88</v>
      </c>
      <c r="J301" s="136" t="inlineStr">
        <is>
          <t>AI辅助</t>
        </is>
      </c>
      <c r="K301" s="136" t="n"/>
      <c r="L301" s="135" t="n"/>
      <c r="M301" s="135" t="n"/>
      <c r="N301" s="135" t="n"/>
      <c r="O301" s="135" t="n"/>
      <c r="P301" s="135" t="n"/>
      <c r="Q301" s="136" t="inlineStr">
        <is>
          <t>直估2.5·AI执行×0.75</t>
        </is>
      </c>
    </row>
    <row r="302">
      <c r="A302" s="135" t="inlineStr">
        <is>
          <t>6.3.3</t>
        </is>
      </c>
      <c r="B302" s="136" t="inlineStr">
        <is>
          <t>CC全量对账报告（四层行数与字节+差异处理记录）</t>
        </is>
      </c>
      <c r="C302" s="135" t="n">
        <v>3</v>
      </c>
      <c r="D302" s="136" t="inlineStr">
        <is>
          <t>全量对账报告</t>
        </is>
      </c>
      <c r="E302" s="135" t="inlineStr">
        <is>
          <t>DevB</t>
        </is>
      </c>
      <c r="F302" s="148" t="n">
        <v>46357</v>
      </c>
      <c r="G302" s="148" t="n">
        <v>46357</v>
      </c>
      <c r="H302" s="138" t="n">
        <v>1</v>
      </c>
      <c r="I302" s="139" t="n">
        <v>0.75</v>
      </c>
      <c r="J302" s="136" t="inlineStr">
        <is>
          <t>AI辅助</t>
        </is>
      </c>
      <c r="K302" s="136" t="n"/>
      <c r="L302" s="135" t="n"/>
      <c r="M302" s="135" t="n"/>
      <c r="N302" s="135" t="n"/>
      <c r="O302" s="135" t="n"/>
      <c r="P302" s="135" t="n"/>
      <c r="Q302" s="136" t="inlineStr">
        <is>
          <t>直估1·AI执行×0.75</t>
        </is>
      </c>
    </row>
    <row r="303">
      <c r="A303" s="135" t="inlineStr">
        <is>
          <t>6.3.4</t>
        </is>
      </c>
      <c r="B303" s="136" t="inlineStr">
        <is>
          <t>数据/服务缺陷修复收敛（P0/P1清零）</t>
        </is>
      </c>
      <c r="C303" s="135" t="n">
        <v>3</v>
      </c>
      <c r="D303" s="136" t="n"/>
      <c r="E303" s="135" t="inlineStr">
        <is>
          <t>DevB</t>
        </is>
      </c>
      <c r="F303" s="148" t="n">
        <v>46357</v>
      </c>
      <c r="G303" s="148" t="n">
        <v>46359</v>
      </c>
      <c r="H303" s="138" t="n">
        <v>3</v>
      </c>
      <c r="I303" s="139" t="n">
        <v>1.5</v>
      </c>
      <c r="J303" s="136" t="inlineStr">
        <is>
          <t>AI辅助</t>
        </is>
      </c>
      <c r="K303" s="136" t="n"/>
      <c r="L303" s="135" t="n"/>
      <c r="M303" s="135" t="n"/>
      <c r="N303" s="135" t="n"/>
      <c r="O303" s="135" t="n"/>
      <c r="P303" s="135" t="n"/>
      <c r="Q303" s="136" t="inlineStr">
        <is>
          <t>直估2·AI执行×0.75</t>
        </is>
      </c>
    </row>
    <row r="304">
      <c r="A304" s="135" t="inlineStr">
        <is>
          <t>6.3.5</t>
        </is>
      </c>
      <c r="B304" s="136" t="inlineStr">
        <is>
          <t>CC生产迁移预跑方案+迁移Runbook定稿</t>
        </is>
      </c>
      <c r="C304" s="135" t="n">
        <v>3</v>
      </c>
      <c r="D304" s="136" t="inlineStr">
        <is>
          <t>迁移Runbook</t>
        </is>
      </c>
      <c r="E304" s="135" t="inlineStr">
        <is>
          <t>DevB</t>
        </is>
      </c>
      <c r="F304" s="148" t="n">
        <v>46359</v>
      </c>
      <c r="G304" s="148" t="n">
        <v>46360</v>
      </c>
      <c r="H304" s="138" t="n">
        <v>2</v>
      </c>
      <c r="I304" s="139" t="n">
        <v>0.75</v>
      </c>
      <c r="J304" s="136" t="inlineStr">
        <is>
          <t>AI辅助</t>
        </is>
      </c>
      <c r="K304" s="136" t="n"/>
      <c r="L304" s="135" t="n"/>
      <c r="M304" s="135" t="n"/>
      <c r="N304" s="135" t="n"/>
      <c r="O304" s="135" t="n"/>
      <c r="P304" s="135" t="n"/>
      <c r="Q304" s="136" t="inlineStr">
        <is>
          <t>直估1·AI执行×0.75</t>
        </is>
      </c>
    </row>
    <row r="305">
      <c r="A305" s="135" t="inlineStr">
        <is>
          <t>6.3.6</t>
        </is>
      </c>
      <c r="B305" s="136" t="inlineStr">
        <is>
          <t>CC迁移演练对账通过◆（M5·B侧）</t>
        </is>
      </c>
      <c r="C305" s="135" t="n">
        <v>3</v>
      </c>
      <c r="D305" s="136" t="n"/>
      <c r="E305" s="135" t="inlineStr">
        <is>
          <t>DevB</t>
        </is>
      </c>
      <c r="F305" s="148" t="n">
        <v>46363</v>
      </c>
      <c r="G305" s="148" t="n">
        <v>46363</v>
      </c>
      <c r="H305" s="138" t="n">
        <v>1</v>
      </c>
      <c r="I305" s="139" t="n">
        <v>1</v>
      </c>
      <c r="J305" s="136" t="inlineStr">
        <is>
          <t>人工主导</t>
        </is>
      </c>
      <c r="K305" s="136" t="inlineStr">
        <is>
          <t>6.3.5</t>
        </is>
      </c>
      <c r="L305" s="135" t="n"/>
      <c r="M305" s="135" t="n"/>
      <c r="N305" s="135" t="n"/>
      <c r="O305" s="135" t="n"/>
      <c r="P305" s="135" t="n"/>
      <c r="Q305" s="136" t="inlineStr">
        <is>
          <t>直估1·AI执行×1</t>
        </is>
      </c>
    </row>
    <row r="306">
      <c r="A306" s="125" t="inlineStr">
        <is>
          <t>6.4</t>
        </is>
      </c>
      <c r="B306" s="126" t="inlineStr">
        <is>
          <t>6.4 系统测试轮1与UAT准备（Mandy）</t>
        </is>
      </c>
      <c r="C306" s="125" t="n">
        <v>2</v>
      </c>
      <c r="D306" s="126" t="n"/>
      <c r="E306" s="125" t="inlineStr">
        <is>
          <t>Mandy</t>
        </is>
      </c>
      <c r="F306" s="146" t="n">
        <v>46293</v>
      </c>
      <c r="G306" s="146" t="n">
        <v>46366</v>
      </c>
      <c r="H306" s="128" t="n">
        <v>49</v>
      </c>
      <c r="I306" s="129">
        <f>ROUND(SUMPRODUCT(($C$307:$C$310=3)*(LEFT($A$307:$A$310,LEN(A306)+1)=A306&amp;".")*$I$307:$I$310),2)</f>
        <v/>
      </c>
      <c r="J306" s="126" t="n"/>
      <c r="K306" s="126" t="n"/>
      <c r="L306" s="125" t="n"/>
      <c r="M306" s="125" t="n"/>
      <c r="N306" s="125" t="n"/>
      <c r="O306" s="125" t="n"/>
      <c r="P306" s="125" t="n"/>
      <c r="Q306" s="126" t="n"/>
    </row>
    <row r="307">
      <c r="A307" s="135" t="inlineStr">
        <is>
          <t>6.4.1</t>
        </is>
      </c>
      <c r="B307" s="136" t="inlineStr">
        <is>
          <t>UAT脚本初稿（CC真实场景）</t>
        </is>
      </c>
      <c r="C307" s="135" t="n">
        <v>3</v>
      </c>
      <c r="D307" s="136" t="n"/>
      <c r="E307" s="135" t="inlineStr">
        <is>
          <t>Mandy</t>
        </is>
      </c>
      <c r="F307" s="148" t="n">
        <v>46293</v>
      </c>
      <c r="G307" s="148" t="n">
        <v>46294</v>
      </c>
      <c r="H307" s="138" t="n">
        <v>2</v>
      </c>
      <c r="I307" s="139" t="n">
        <v>1.5</v>
      </c>
      <c r="J307" s="136" t="inlineStr">
        <is>
          <t>AI辅助</t>
        </is>
      </c>
      <c r="K307" s="136" t="inlineStr">
        <is>
          <t>2.3.2</t>
        </is>
      </c>
      <c r="L307" s="135" t="n"/>
      <c r="M307" s="135" t="n"/>
      <c r="N307" s="135" t="n"/>
      <c r="O307" s="135" t="n"/>
      <c r="P307" s="135" t="n"/>
      <c r="Q307" s="136" t="inlineStr">
        <is>
          <t>直估2·AI执行×0.75</t>
        </is>
      </c>
    </row>
    <row r="308">
      <c r="A308" s="135" t="inlineStr">
        <is>
          <t>6.4.2</t>
        </is>
      </c>
      <c r="B308" s="136" t="inlineStr">
        <is>
          <t>系统测试轮1执行（26项全用例+非功能初验：性能粗测/安全越权与掩码旁路用例，样本+CC混合）</t>
        </is>
      </c>
      <c r="C308" s="135" t="n">
        <v>3</v>
      </c>
      <c r="D308" s="136" t="n"/>
      <c r="E308" s="135" t="inlineStr">
        <is>
          <t>Mandy</t>
        </is>
      </c>
      <c r="F308" s="148" t="n">
        <v>46360</v>
      </c>
      <c r="G308" s="148" t="n">
        <v>46364</v>
      </c>
      <c r="H308" s="138" t="n">
        <v>3</v>
      </c>
      <c r="I308" s="139" t="n">
        <v>1.8</v>
      </c>
      <c r="J308" s="136" t="inlineStr">
        <is>
          <t>AI生成用例+人工审校执行</t>
        </is>
      </c>
      <c r="K308" s="136" t="inlineStr">
        <is>
          <t>6.3.2</t>
        </is>
      </c>
      <c r="L308" s="135" t="n"/>
      <c r="M308" s="135" t="n"/>
      <c r="N308" s="135" t="n"/>
      <c r="O308" s="135" t="n"/>
      <c r="P308" s="135" t="n"/>
      <c r="Q308" s="136" t="inlineStr">
        <is>
          <t>直估3·AI执行×0.6</t>
        </is>
      </c>
    </row>
    <row r="309">
      <c r="A309" s="135" t="inlineStr">
        <is>
          <t>6.4.3</t>
        </is>
      </c>
      <c r="B309" s="136" t="inlineStr">
        <is>
          <t>轮1回归+缺陷报告</t>
        </is>
      </c>
      <c r="C309" s="135" t="n">
        <v>3</v>
      </c>
      <c r="D309" s="136" t="n"/>
      <c r="E309" s="135" t="inlineStr">
        <is>
          <t>Mandy</t>
        </is>
      </c>
      <c r="F309" s="148" t="n">
        <v>46364</v>
      </c>
      <c r="G309" s="148" t="n">
        <v>46365</v>
      </c>
      <c r="H309" s="138" t="n">
        <v>2</v>
      </c>
      <c r="I309" s="139" t="n">
        <v>0.9</v>
      </c>
      <c r="J309" s="136" t="inlineStr">
        <is>
          <t>AI生成用例+人工审校执行</t>
        </is>
      </c>
      <c r="K309" s="136" t="n"/>
      <c r="L309" s="135" t="n"/>
      <c r="M309" s="135" t="n"/>
      <c r="N309" s="135" t="n"/>
      <c r="O309" s="135" t="n"/>
      <c r="P309" s="135" t="n"/>
      <c r="Q309" s="136" t="inlineStr">
        <is>
          <t>直估1.5·AI执行×0.6</t>
        </is>
      </c>
    </row>
    <row r="310">
      <c r="A310" s="135" t="inlineStr">
        <is>
          <t>6.4.4</t>
        </is>
      </c>
      <c r="B310" s="136" t="inlineStr">
        <is>
          <t>UAT脚本定稿+业务方排期确认</t>
        </is>
      </c>
      <c r="C310" s="135" t="n">
        <v>3</v>
      </c>
      <c r="D310" s="136" t="n"/>
      <c r="E310" s="135" t="inlineStr">
        <is>
          <t>Mandy</t>
        </is>
      </c>
      <c r="F310" s="148" t="n">
        <v>46366</v>
      </c>
      <c r="G310" s="148" t="n">
        <v>46366</v>
      </c>
      <c r="H310" s="138" t="n">
        <v>1</v>
      </c>
      <c r="I310" s="139" t="n">
        <v>1</v>
      </c>
      <c r="J310" s="136" t="inlineStr">
        <is>
          <t>人工主导</t>
        </is>
      </c>
      <c r="K310" s="136" t="inlineStr">
        <is>
          <t>6.4.3</t>
        </is>
      </c>
      <c r="L310" s="135" t="n"/>
      <c r="M310" s="135" t="n"/>
      <c r="N310" s="135" t="n"/>
      <c r="O310" s="135" t="n"/>
      <c r="P310" s="135" t="n"/>
      <c r="Q310" s="136" t="inlineStr">
        <is>
          <t>直估1·AI执行×1</t>
        </is>
      </c>
    </row>
    <row r="311">
      <c r="A311" s="125" t="inlineStr">
        <is>
          <t>6.5</t>
        </is>
      </c>
      <c r="B311" s="126" t="inlineStr">
        <is>
          <t>6.5 代码冻结</t>
        </is>
      </c>
      <c r="C311" s="125" t="n">
        <v>2</v>
      </c>
      <c r="D311" s="126" t="n"/>
      <c r="E311" s="125" t="inlineStr">
        <is>
          <t>Mark</t>
        </is>
      </c>
      <c r="F311" s="146" t="n">
        <v>46381</v>
      </c>
      <c r="G311" s="146" t="n">
        <v>46381</v>
      </c>
      <c r="H311" s="128" t="n">
        <v>1</v>
      </c>
      <c r="I311" s="129">
        <f>ROUND(SUMPRODUCT(($C$312:$C$312=3)*(LEFT($A$312:$A$312,LEN(A311)+1)=A311&amp;".")*$I$312:$I$312),2)</f>
        <v/>
      </c>
      <c r="J311" s="126" t="n"/>
      <c r="K311" s="126" t="n"/>
      <c r="L311" s="125" t="n"/>
      <c r="M311" s="125" t="n"/>
      <c r="N311" s="125" t="n"/>
      <c r="O311" s="125" t="n"/>
      <c r="P311" s="125" t="n"/>
      <c r="Q311" s="126" t="n"/>
    </row>
    <row r="312">
      <c r="A312" s="130" t="inlineStr">
        <is>
          <t>6.5.1</t>
        </is>
      </c>
      <c r="B312" s="131" t="inlineStr">
        <is>
          <t>代码冻结+发布就绪评审◆M5（A/B两侧，含N3非功能收口·PM主持）</t>
        </is>
      </c>
      <c r="C312" s="130" t="n">
        <v>3</v>
      </c>
      <c r="D312" s="131" t="inlineStr">
        <is>
          <t>冻结基线、发布就绪清单</t>
        </is>
      </c>
      <c r="E312" s="130" t="inlineStr">
        <is>
          <t>Mark</t>
        </is>
      </c>
      <c r="F312" s="147" t="n">
        <v>46381</v>
      </c>
      <c r="G312" s="147" t="n">
        <v>46381</v>
      </c>
      <c r="H312" s="133" t="n">
        <v>1</v>
      </c>
      <c r="I312" s="134" t="n">
        <v>1</v>
      </c>
      <c r="J312" s="131" t="inlineStr">
        <is>
          <t>人工主导</t>
        </is>
      </c>
      <c r="K312" s="131" t="inlineStr">
        <is>
          <t>6.1.6,6.1.10,6.2.4,6.3.6,5.14.5,5.14.9</t>
        </is>
      </c>
      <c r="L312" s="130" t="n"/>
      <c r="M312" s="130" t="n"/>
      <c r="N312" s="130" t="n"/>
      <c r="O312" s="130" t="n"/>
      <c r="P312" s="130" t="n"/>
      <c r="Q312" s="131" t="inlineStr">
        <is>
          <t>直估1·AI执行×1</t>
        </is>
      </c>
    </row>
    <row r="313">
      <c r="A313" s="120" t="inlineStr">
        <is>
          <t>7</t>
        </is>
      </c>
      <c r="B313" s="121" t="inlineStr">
        <is>
          <t>系统测试、UAT与生产就绪（含开发侧文档N5定稿）</t>
        </is>
      </c>
      <c r="C313" s="120" t="n">
        <v>1</v>
      </c>
      <c r="D313" s="121" t="n"/>
      <c r="E313" s="120" t="inlineStr">
        <is>
          <t>DevB/Mandy/Mark/Wade</t>
        </is>
      </c>
      <c r="F313" s="145" t="n">
        <v>46366</v>
      </c>
      <c r="G313" s="145" t="n">
        <v>46384</v>
      </c>
      <c r="H313" s="123" t="n">
        <v>13</v>
      </c>
      <c r="I313" s="124">
        <f>ROUND(SUMPRODUCT(($C$314:$C$332=3)*(LEFT($A$314:$A$332,LEN(A313)+1)=A313&amp;".")*$I$314:$I$332),2)</f>
        <v/>
      </c>
      <c r="J313" s="121" t="n"/>
      <c r="K313" s="121" t="n"/>
      <c r="L313" s="120" t="n"/>
      <c r="M313" s="120" t="n"/>
      <c r="N313" s="120" t="n"/>
      <c r="O313" s="120" t="n"/>
      <c r="P313" s="120" t="n"/>
      <c r="Q313" s="121" t="n"/>
    </row>
    <row r="314">
      <c r="A314" s="125" t="inlineStr">
        <is>
          <t>7.1</t>
        </is>
      </c>
      <c r="B314" s="126" t="inlineStr">
        <is>
          <t>7.1 全量测试与UAT（Mandy）</t>
        </is>
      </c>
      <c r="C314" s="125" t="n">
        <v>2</v>
      </c>
      <c r="D314" s="126" t="n"/>
      <c r="E314" s="125" t="inlineStr">
        <is>
          <t>Mandy</t>
        </is>
      </c>
      <c r="F314" s="146" t="n">
        <v>46367</v>
      </c>
      <c r="G314" s="146" t="n">
        <v>46374</v>
      </c>
      <c r="H314" s="128" t="n">
        <v>6</v>
      </c>
      <c r="I314" s="129">
        <f>ROUND(SUMPRODUCT(($C$315:$C$318=3)*(LEFT($A$315:$A$318,LEN(A314)+1)=A314&amp;".")*$I$315:$I$318),2)</f>
        <v/>
      </c>
      <c r="J314" s="126" t="n"/>
      <c r="K314" s="126" t="n"/>
      <c r="L314" s="125" t="n"/>
      <c r="M314" s="125" t="n"/>
      <c r="N314" s="125" t="n"/>
      <c r="O314" s="125" t="n"/>
      <c r="P314" s="125" t="n"/>
      <c r="Q314" s="126" t="n"/>
    </row>
    <row r="315">
      <c r="A315" s="135" t="inlineStr">
        <is>
          <t>7.1.1</t>
        </is>
      </c>
      <c r="B315" s="136" t="inlineStr">
        <is>
          <t>系统测试全量执行（26项逐项+汇总NFR专项结果，CC真实数据：检索/预览/导出/审计/处置）</t>
        </is>
      </c>
      <c r="C315" s="135" t="n">
        <v>3</v>
      </c>
      <c r="D315" s="136" t="n"/>
      <c r="E315" s="135" t="inlineStr">
        <is>
          <t>Mandy</t>
        </is>
      </c>
      <c r="F315" s="148" t="n">
        <v>46367</v>
      </c>
      <c r="G315" s="148" t="n">
        <v>46370</v>
      </c>
      <c r="H315" s="138" t="n">
        <v>2</v>
      </c>
      <c r="I315" s="139" t="n">
        <v>1.2</v>
      </c>
      <c r="J315" s="136" t="inlineStr">
        <is>
          <t>AI生成用例+人工审校执行</t>
        </is>
      </c>
      <c r="K315" s="136" t="inlineStr">
        <is>
          <t>6.4.3,5.14.9,6.3.6,6.2.4</t>
        </is>
      </c>
      <c r="L315" s="135" t="n"/>
      <c r="M315" s="135" t="n"/>
      <c r="N315" s="135" t="n"/>
      <c r="O315" s="135" t="n"/>
      <c r="P315" s="135" t="n"/>
      <c r="Q315" s="136" t="inlineStr">
        <is>
          <t>直估2·AI执行×0.6</t>
        </is>
      </c>
    </row>
    <row r="316">
      <c r="A316" s="135" t="inlineStr">
        <is>
          <t>7.1.2</t>
        </is>
      </c>
      <c r="B316" s="136" t="inlineStr">
        <is>
          <t>缺陷回归与关闭（或书面接受）</t>
        </is>
      </c>
      <c r="C316" s="135" t="n">
        <v>3</v>
      </c>
      <c r="D316" s="136" t="n"/>
      <c r="E316" s="135" t="inlineStr">
        <is>
          <t>Mandy</t>
        </is>
      </c>
      <c r="F316" s="148" t="n">
        <v>46370</v>
      </c>
      <c r="G316" s="148" t="n">
        <v>46370</v>
      </c>
      <c r="H316" s="138" t="n">
        <v>1</v>
      </c>
      <c r="I316" s="139" t="n">
        <v>0.6</v>
      </c>
      <c r="J316" s="136" t="inlineStr">
        <is>
          <t>AI生成用例+人工审校执行</t>
        </is>
      </c>
      <c r="K316" s="136" t="n"/>
      <c r="L316" s="135" t="n"/>
      <c r="M316" s="135" t="n"/>
      <c r="N316" s="135" t="n"/>
      <c r="O316" s="135" t="n"/>
      <c r="P316" s="135" t="n"/>
      <c r="Q316" s="136" t="inlineStr">
        <is>
          <t>直估1·AI执行×0.6</t>
        </is>
      </c>
    </row>
    <row r="317">
      <c r="A317" s="130" t="inlineStr">
        <is>
          <t>7.1.3</t>
        </is>
      </c>
      <c r="B317" s="131" t="inlineStr">
        <is>
          <t>UAT组织与主持（业务方按CC场景验收）◆M6</t>
        </is>
      </c>
      <c r="C317" s="130" t="n">
        <v>3</v>
      </c>
      <c r="D317" s="131" t="inlineStr">
        <is>
          <t>UAT报告、业务方签字</t>
        </is>
      </c>
      <c r="E317" s="130" t="inlineStr">
        <is>
          <t>Mandy</t>
        </is>
      </c>
      <c r="F317" s="147" t="n">
        <v>46372</v>
      </c>
      <c r="G317" s="147" t="n">
        <v>46373</v>
      </c>
      <c r="H317" s="133" t="n">
        <v>2</v>
      </c>
      <c r="I317" s="134" t="n">
        <v>1</v>
      </c>
      <c r="J317" s="131" t="inlineStr">
        <is>
          <t>人工主导</t>
        </is>
      </c>
      <c r="K317" s="131" t="inlineStr">
        <is>
          <t>7.1.2</t>
        </is>
      </c>
      <c r="L317" s="130" t="n"/>
      <c r="M317" s="130" t="n"/>
      <c r="N317" s="130" t="n"/>
      <c r="O317" s="130" t="n"/>
      <c r="P317" s="130" t="n"/>
      <c r="Q317" s="131" t="inlineStr">
        <is>
          <t>直估1·AI执行×1</t>
        </is>
      </c>
    </row>
    <row r="318">
      <c r="A318" s="135" t="inlineStr">
        <is>
          <t>7.1.4</t>
        </is>
      </c>
      <c r="B318" s="136" t="inlineStr">
        <is>
          <t>系统测试报告+UAT报告定稿+SLC合稿定稿V1.0</t>
        </is>
      </c>
      <c r="C318" s="135" t="n">
        <v>3</v>
      </c>
      <c r="D318" s="136" t="n"/>
      <c r="E318" s="135" t="inlineStr">
        <is>
          <t>Mandy</t>
        </is>
      </c>
      <c r="F318" s="148" t="n">
        <v>46374</v>
      </c>
      <c r="G318" s="148" t="n">
        <v>46374</v>
      </c>
      <c r="H318" s="138" t="n">
        <v>1</v>
      </c>
      <c r="I318" s="139" t="n">
        <v>0.75</v>
      </c>
      <c r="J318" s="136" t="inlineStr">
        <is>
          <t>AI辅助</t>
        </is>
      </c>
      <c r="K318" s="136" t="inlineStr">
        <is>
          <t>7.1.3</t>
        </is>
      </c>
      <c r="L318" s="135" t="n"/>
      <c r="M318" s="135" t="n"/>
      <c r="N318" s="135" t="n"/>
      <c r="O318" s="135" t="n"/>
      <c r="P318" s="135" t="n"/>
      <c r="Q318" s="136" t="inlineStr">
        <is>
          <t>直估1·AI执行×0.75</t>
        </is>
      </c>
    </row>
    <row r="319">
      <c r="A319" s="125" t="inlineStr">
        <is>
          <t>7.2</t>
        </is>
      </c>
      <c r="B319" s="126" t="inlineStr">
        <is>
          <t>7.2 生产就绪与非功能专项（Wade/DevB）</t>
        </is>
      </c>
      <c r="C319" s="125" t="n">
        <v>2</v>
      </c>
      <c r="D319" s="126" t="n"/>
      <c r="E319" s="125" t="inlineStr">
        <is>
          <t>DevB/Mark/Wade</t>
        </is>
      </c>
      <c r="F319" s="146" t="n">
        <v>46373</v>
      </c>
      <c r="G319" s="146" t="n">
        <v>46380</v>
      </c>
      <c r="H319" s="128" t="n">
        <v>6</v>
      </c>
      <c r="I319" s="129">
        <f>ROUND(SUMPRODUCT(($C$320:$C$327=3)*(LEFT($A$320:$A$327,LEN(A319)+1)=A319&amp;".")*$I$320:$I$327),2)</f>
        <v/>
      </c>
      <c r="J319" s="126" t="n"/>
      <c r="K319" s="126" t="n"/>
      <c r="L319" s="125" t="n"/>
      <c r="M319" s="125" t="n"/>
      <c r="N319" s="125" t="n"/>
      <c r="O319" s="125" t="n"/>
      <c r="P319" s="125" t="n"/>
      <c r="Q319" s="126" t="n"/>
    </row>
    <row r="320">
      <c r="A320" s="135" t="inlineStr">
        <is>
          <t>7.2.1</t>
        </is>
      </c>
      <c r="B320" s="136" t="inlineStr">
        <is>
          <t>缺陷快速修复（前端/应用）</t>
        </is>
      </c>
      <c r="C320" s="135" t="n">
        <v>3</v>
      </c>
      <c r="D320" s="136" t="n"/>
      <c r="E320" s="135" t="inlineStr">
        <is>
          <t>Wade</t>
        </is>
      </c>
      <c r="F320" s="148" t="n">
        <v>46373</v>
      </c>
      <c r="G320" s="148" t="n">
        <v>46373</v>
      </c>
      <c r="H320" s="138" t="n">
        <v>1</v>
      </c>
      <c r="I320" s="139" t="n">
        <v>0.65</v>
      </c>
      <c r="J320" s="136" t="inlineStr">
        <is>
          <t>AI生成+人工审核</t>
        </is>
      </c>
      <c r="K320" s="136" t="inlineStr">
        <is>
          <t>5.15.2,6.3.6</t>
        </is>
      </c>
      <c r="L320" s="135" t="n"/>
      <c r="M320" s="135" t="n"/>
      <c r="N320" s="135" t="n"/>
      <c r="O320" s="135" t="n"/>
      <c r="P320" s="135" t="n"/>
      <c r="Q320" s="136" t="inlineStr">
        <is>
          <t>直估1·AI执行×0.65</t>
        </is>
      </c>
    </row>
    <row r="321">
      <c r="A321" s="135" t="inlineStr">
        <is>
          <t>7.2.2</t>
        </is>
      </c>
      <c r="B321" s="136" t="inlineStr">
        <is>
          <t>性能专项验证与调优（检索响应/预览加载/导出吞吐/并发，对照NFR指标）</t>
        </is>
      </c>
      <c r="C321" s="135" t="n">
        <v>3</v>
      </c>
      <c r="D321" s="136" t="n"/>
      <c r="E321" s="135" t="inlineStr">
        <is>
          <t>Wade</t>
        </is>
      </c>
      <c r="F321" s="148" t="n">
        <v>46373</v>
      </c>
      <c r="G321" s="148" t="n">
        <v>46377</v>
      </c>
      <c r="H321" s="138" t="n">
        <v>3</v>
      </c>
      <c r="I321" s="139" t="n">
        <v>1.5</v>
      </c>
      <c r="J321" s="136" t="inlineStr">
        <is>
          <t>AI辅助</t>
        </is>
      </c>
      <c r="K321" s="136" t="inlineStr">
        <is>
          <t>5.15.2,6.3.6</t>
        </is>
      </c>
      <c r="L321" s="135" t="n"/>
      <c r="M321" s="135" t="n"/>
      <c r="N321" s="135" t="n"/>
      <c r="O321" s="135" t="n"/>
      <c r="P321" s="135" t="n"/>
      <c r="Q321" s="136" t="inlineStr">
        <is>
          <t>直估2·AI执行×0.75</t>
        </is>
      </c>
    </row>
    <row r="322">
      <c r="A322" s="135" t="inlineStr">
        <is>
          <t>7.2.3</t>
        </is>
      </c>
      <c r="B322" s="136" t="inlineStr">
        <is>
          <t>缺陷快速修复（数据/服务）</t>
        </is>
      </c>
      <c r="C322" s="135" t="n">
        <v>3</v>
      </c>
      <c r="D322" s="136" t="n"/>
      <c r="E322" s="135" t="inlineStr">
        <is>
          <t>DevB</t>
        </is>
      </c>
      <c r="F322" s="148" t="n">
        <v>46373</v>
      </c>
      <c r="G322" s="148" t="n">
        <v>46373</v>
      </c>
      <c r="H322" s="138" t="n">
        <v>1</v>
      </c>
      <c r="I322" s="139" t="n">
        <v>0.65</v>
      </c>
      <c r="J322" s="136" t="inlineStr">
        <is>
          <t>AI生成+人工审核</t>
        </is>
      </c>
      <c r="K322" s="136" t="inlineStr">
        <is>
          <t>5.15.2</t>
        </is>
      </c>
      <c r="L322" s="135" t="n"/>
      <c r="M322" s="135" t="n"/>
      <c r="N322" s="135" t="n"/>
      <c r="O322" s="135" t="n"/>
      <c r="P322" s="135" t="n"/>
      <c r="Q322" s="136" t="inlineStr">
        <is>
          <t>直估1·AI执行×0.65</t>
        </is>
      </c>
    </row>
    <row r="323">
      <c r="A323" s="135" t="inlineStr">
        <is>
          <t>7.2.4</t>
        </is>
      </c>
      <c r="B323" s="136" t="inlineStr">
        <is>
          <t>CC生产迁移预跑（全流程dry-run）</t>
        </is>
      </c>
      <c r="C323" s="135" t="n">
        <v>3</v>
      </c>
      <c r="D323" s="136" t="n"/>
      <c r="E323" s="135" t="inlineStr">
        <is>
          <t>DevB</t>
        </is>
      </c>
      <c r="F323" s="148" t="n">
        <v>46373</v>
      </c>
      <c r="G323" s="148" t="n">
        <v>46377</v>
      </c>
      <c r="H323" s="138" t="n">
        <v>3</v>
      </c>
      <c r="I323" s="139" t="n">
        <v>1.8</v>
      </c>
      <c r="J323" s="136" t="inlineStr">
        <is>
          <t>自动化流水线</t>
        </is>
      </c>
      <c r="K323" s="136" t="inlineStr">
        <is>
          <t>6.3.6</t>
        </is>
      </c>
      <c r="L323" s="135" t="n"/>
      <c r="M323" s="135" t="n"/>
      <c r="N323" s="135" t="n"/>
      <c r="O323" s="135" t="n"/>
      <c r="P323" s="135" t="n"/>
      <c r="Q323" s="136" t="inlineStr">
        <is>
          <t>直估2·AI执行×0.9</t>
        </is>
      </c>
    </row>
    <row r="324">
      <c r="A324" s="135" t="inlineStr">
        <is>
          <t>7.2.5</t>
        </is>
      </c>
      <c r="B324" s="136" t="inlineStr">
        <is>
          <t>安全与可靠性专项验证（越权/掩码旁路用例执行+备份恢复与灾备切换演练，对照NFR基线）</t>
        </is>
      </c>
      <c r="C324" s="135" t="n">
        <v>3</v>
      </c>
      <c r="D324" s="136" t="n"/>
      <c r="E324" s="135" t="inlineStr">
        <is>
          <t>DevB</t>
        </is>
      </c>
      <c r="F324" s="148" t="n">
        <v>46377</v>
      </c>
      <c r="G324" s="148" t="n">
        <v>46378</v>
      </c>
      <c r="H324" s="138" t="n">
        <v>2</v>
      </c>
      <c r="I324" s="139" t="n">
        <v>1.12</v>
      </c>
      <c r="J324" s="136" t="inlineStr">
        <is>
          <t>AI辅助</t>
        </is>
      </c>
      <c r="K324" s="136" t="inlineStr">
        <is>
          <t>5.15.2,6.3.6</t>
        </is>
      </c>
      <c r="L324" s="135" t="n"/>
      <c r="M324" s="135" t="n"/>
      <c r="N324" s="135" t="n"/>
      <c r="O324" s="135" t="n"/>
      <c r="P324" s="135" t="n"/>
      <c r="Q324" s="136" t="inlineStr">
        <is>
          <t>直估1.5·AI执行×0.75</t>
        </is>
      </c>
    </row>
    <row r="325">
      <c r="A325" s="135" t="inlineStr">
        <is>
          <t>7.2.6</t>
        </is>
      </c>
      <c r="B325" s="136" t="inlineStr">
        <is>
          <t>部署预演与回退预案（N4-4：预生产完整演练、回退验证）</t>
        </is>
      </c>
      <c r="C325" s="135" t="n">
        <v>3</v>
      </c>
      <c r="D325" s="136" t="n"/>
      <c r="E325" s="135" t="inlineStr">
        <is>
          <t>DevB</t>
        </is>
      </c>
      <c r="F325" s="148" t="n">
        <v>46378</v>
      </c>
      <c r="G325" s="148" t="n">
        <v>46379</v>
      </c>
      <c r="H325" s="138" t="n">
        <v>2</v>
      </c>
      <c r="I325" s="139" t="n">
        <v>0.5</v>
      </c>
      <c r="J325" s="136" t="inlineStr">
        <is>
          <t>人工主导</t>
        </is>
      </c>
      <c r="K325" s="136" t="inlineStr">
        <is>
          <t>7.2.4</t>
        </is>
      </c>
      <c r="L325" s="135" t="n"/>
      <c r="M325" s="135" t="n"/>
      <c r="N325" s="135" t="n"/>
      <c r="O325" s="135" t="n"/>
      <c r="P325" s="135" t="n"/>
      <c r="Q325" s="136" t="inlineStr">
        <is>
          <t>直估0.5·AI执行×1</t>
        </is>
      </c>
    </row>
    <row r="326">
      <c r="A326" s="135" t="inlineStr">
        <is>
          <t>7.2.7</t>
        </is>
      </c>
      <c r="B326" s="136" t="inlineStr">
        <is>
          <t>生产数据就绪核查清单执行</t>
        </is>
      </c>
      <c r="C326" s="135" t="n">
        <v>3</v>
      </c>
      <c r="D326" s="136" t="n"/>
      <c r="E326" s="135" t="inlineStr">
        <is>
          <t>DevB</t>
        </is>
      </c>
      <c r="F326" s="148" t="n">
        <v>46379</v>
      </c>
      <c r="G326" s="148" t="n">
        <v>46379</v>
      </c>
      <c r="H326" s="138" t="n">
        <v>1</v>
      </c>
      <c r="I326" s="139" t="n">
        <v>0.75</v>
      </c>
      <c r="J326" s="136" t="inlineStr">
        <is>
          <t>AI辅助</t>
        </is>
      </c>
      <c r="K326" s="136" t="inlineStr">
        <is>
          <t>7.2.4</t>
        </is>
      </c>
      <c r="L326" s="135" t="n"/>
      <c r="M326" s="135" t="n"/>
      <c r="N326" s="135" t="n"/>
      <c r="O326" s="135" t="n"/>
      <c r="P326" s="135" t="n"/>
      <c r="Q326" s="136" t="inlineStr">
        <is>
          <t>直估1·AI执行×0.75</t>
        </is>
      </c>
    </row>
    <row r="327">
      <c r="A327" s="135" t="inlineStr">
        <is>
          <t>7.2.8</t>
        </is>
      </c>
      <c r="B327" s="136" t="inlineStr">
        <is>
          <t>生产就绪评审（Runbook/配置/回退/NFR达标确认·PM主持）</t>
        </is>
      </c>
      <c r="C327" s="135" t="n">
        <v>3</v>
      </c>
      <c r="D327" s="136" t="n"/>
      <c r="E327" s="135" t="inlineStr">
        <is>
          <t>Mark</t>
        </is>
      </c>
      <c r="F327" s="148" t="n">
        <v>46380</v>
      </c>
      <c r="G327" s="148" t="n">
        <v>46380</v>
      </c>
      <c r="H327" s="138" t="n">
        <v>1</v>
      </c>
      <c r="I327" s="139" t="n">
        <v>1</v>
      </c>
      <c r="J327" s="136" t="inlineStr">
        <is>
          <t>人工主导</t>
        </is>
      </c>
      <c r="K327" s="136" t="inlineStr">
        <is>
          <t>7.1.3,7.2.6,7.2.7</t>
        </is>
      </c>
      <c r="L327" s="135" t="n"/>
      <c r="M327" s="135" t="n"/>
      <c r="N327" s="135" t="n"/>
      <c r="O327" s="135" t="n"/>
      <c r="P327" s="135" t="n"/>
      <c r="Q327" s="136" t="inlineStr">
        <is>
          <t>直估1·AI执行×1</t>
        </is>
      </c>
    </row>
    <row r="328">
      <c r="A328" s="125" t="inlineStr">
        <is>
          <t>7.3</t>
        </is>
      </c>
      <c r="B328" s="126" t="inlineStr">
        <is>
          <t>7.3 开发侧文档定稿（N5）</t>
        </is>
      </c>
      <c r="C328" s="125" t="n">
        <v>2</v>
      </c>
      <c r="D328" s="126" t="n"/>
      <c r="E328" s="125" t="inlineStr">
        <is>
          <t>DevB/Mandy/Wade</t>
        </is>
      </c>
      <c r="F328" s="146" t="n">
        <v>46366</v>
      </c>
      <c r="G328" s="146" t="n">
        <v>46384</v>
      </c>
      <c r="H328" s="128" t="n">
        <v>13</v>
      </c>
      <c r="I328" s="129">
        <f>ROUND(SUMPRODUCT(($C$329:$C$332=3)*(LEFT($A$329:$A$332,LEN(A328)+1)=A328&amp;".")*$I$329:$I$332),2)</f>
        <v/>
      </c>
      <c r="J328" s="126" t="n"/>
      <c r="K328" s="126" t="n"/>
      <c r="L328" s="125" t="n"/>
      <c r="M328" s="125" t="n"/>
      <c r="N328" s="125" t="n"/>
      <c r="O328" s="125" t="n"/>
      <c r="P328" s="125" t="n"/>
      <c r="Q328" s="126" t="n"/>
    </row>
    <row r="329">
      <c r="A329" s="135" t="inlineStr">
        <is>
          <t>7.3.1</t>
        </is>
      </c>
      <c r="B329" s="136" t="inlineStr">
        <is>
          <t>SLC文档汇编：开发侧文档合稿评审（N5）</t>
        </is>
      </c>
      <c r="C329" s="135" t="n">
        <v>3</v>
      </c>
      <c r="D329" s="136" t="n"/>
      <c r="E329" s="135" t="inlineStr">
        <is>
          <t>Mandy</t>
        </is>
      </c>
      <c r="F329" s="148" t="n">
        <v>46384</v>
      </c>
      <c r="G329" s="148" t="n">
        <v>46384</v>
      </c>
      <c r="H329" s="138" t="n">
        <v>1</v>
      </c>
      <c r="I329" s="139" t="n">
        <v>0.38</v>
      </c>
      <c r="J329" s="136" t="inlineStr">
        <is>
          <t>AI辅助</t>
        </is>
      </c>
      <c r="K329" s="136" t="n"/>
      <c r="L329" s="135" t="n"/>
      <c r="M329" s="135" t="n"/>
      <c r="N329" s="135" t="n"/>
      <c r="O329" s="135" t="n"/>
      <c r="P329" s="135" t="n"/>
      <c r="Q329" s="136" t="inlineStr">
        <is>
          <t>直估0.5·AI执行×0.75</t>
        </is>
      </c>
    </row>
    <row r="330">
      <c r="A330" s="135" t="inlineStr">
        <is>
          <t>7.3.2</t>
        </is>
      </c>
      <c r="B330" s="136" t="inlineStr">
        <is>
          <t>应用接口与模块设计文档（OpenAPI导出+模块设计说明）</t>
        </is>
      </c>
      <c r="C330" s="135" t="n">
        <v>3</v>
      </c>
      <c r="D330" s="136" t="n"/>
      <c r="E330" s="135" t="inlineStr">
        <is>
          <t>Wade</t>
        </is>
      </c>
      <c r="F330" s="148" t="n">
        <v>46366</v>
      </c>
      <c r="G330" s="148" t="n">
        <v>46366</v>
      </c>
      <c r="H330" s="138" t="n">
        <v>1</v>
      </c>
      <c r="I330" s="139" t="n">
        <v>0.75</v>
      </c>
      <c r="J330" s="136" t="inlineStr">
        <is>
          <t>AI辅助</t>
        </is>
      </c>
      <c r="K330" s="136" t="inlineStr">
        <is>
          <t>6.2.4</t>
        </is>
      </c>
      <c r="L330" s="135" t="n"/>
      <c r="M330" s="135" t="n"/>
      <c r="N330" s="135" t="n"/>
      <c r="O330" s="135" t="n"/>
      <c r="P330" s="135" t="n"/>
      <c r="Q330" s="136" t="inlineStr">
        <is>
          <t>直估1·AI执行×0.75</t>
        </is>
      </c>
    </row>
    <row r="331">
      <c r="A331" s="135" t="inlineStr">
        <is>
          <t>7.3.3</t>
        </is>
      </c>
      <c r="B331" s="136" t="inlineStr">
        <is>
          <t>架构与总体设计文档（架构图/部署视图/ADR汇编成文）</t>
        </is>
      </c>
      <c r="C331" s="135" t="n">
        <v>3</v>
      </c>
      <c r="D331" s="136" t="n"/>
      <c r="E331" s="135" t="inlineStr">
        <is>
          <t>Wade</t>
        </is>
      </c>
      <c r="F331" s="148" t="n">
        <v>46366</v>
      </c>
      <c r="G331" s="148" t="n">
        <v>46367</v>
      </c>
      <c r="H331" s="138" t="n">
        <v>2</v>
      </c>
      <c r="I331" s="139" t="n">
        <v>1.12</v>
      </c>
      <c r="J331" s="136" t="inlineStr">
        <is>
          <t>AI辅助</t>
        </is>
      </c>
      <c r="K331" s="136" t="inlineStr">
        <is>
          <t>3.1.5</t>
        </is>
      </c>
      <c r="L331" s="135" t="n"/>
      <c r="M331" s="135" t="n"/>
      <c r="N331" s="135" t="n"/>
      <c r="O331" s="135" t="n"/>
      <c r="P331" s="135" t="n"/>
      <c r="Q331" s="136" t="inlineStr">
        <is>
          <t>直估1.5·AI执行×0.75</t>
        </is>
      </c>
    </row>
    <row r="332">
      <c r="A332" s="135" t="inlineStr">
        <is>
          <t>7.3.4</t>
        </is>
      </c>
      <c r="B332" s="136" t="inlineStr">
        <is>
          <t>数据设计与ETL/作业文档（分层设计/数据字典/ETL与作业说明）</t>
        </is>
      </c>
      <c r="C332" s="135" t="n">
        <v>3</v>
      </c>
      <c r="D332" s="136" t="n"/>
      <c r="E332" s="135" t="inlineStr">
        <is>
          <t>DevB</t>
        </is>
      </c>
      <c r="F332" s="148" t="n">
        <v>46379</v>
      </c>
      <c r="G332" s="148" t="n">
        <v>46380</v>
      </c>
      <c r="H332" s="138" t="n">
        <v>2</v>
      </c>
      <c r="I332" s="139" t="n">
        <v>1.12</v>
      </c>
      <c r="J332" s="136" t="inlineStr">
        <is>
          <t>AI辅助</t>
        </is>
      </c>
      <c r="K332" s="136" t="inlineStr">
        <is>
          <t>6.3.6</t>
        </is>
      </c>
      <c r="L332" s="135" t="n"/>
      <c r="M332" s="135" t="n"/>
      <c r="N332" s="135" t="n"/>
      <c r="O332" s="135" t="n"/>
      <c r="P332" s="135" t="n"/>
      <c r="Q332" s="136" t="inlineStr">
        <is>
          <t>直估1.5·AI执行×0.75</t>
        </is>
      </c>
    </row>
    <row r="333">
      <c r="A333" s="120" t="inlineStr">
        <is>
          <t>8</t>
        </is>
      </c>
      <c r="B333" s="121" t="inlineStr">
        <is>
          <t>部署上线与项目交付</t>
        </is>
      </c>
      <c r="C333" s="120" t="n">
        <v>1</v>
      </c>
      <c r="D333" s="121" t="n"/>
      <c r="E333" s="120" t="inlineStr">
        <is>
          <t>DevB/Mandy/Mark/Wade</t>
        </is>
      </c>
      <c r="F333" s="145" t="n">
        <v>46381</v>
      </c>
      <c r="G333" s="145" t="n">
        <v>46387</v>
      </c>
      <c r="H333" s="123" t="n">
        <v>5</v>
      </c>
      <c r="I333" s="124">
        <f>ROUND(SUMPRODUCT(($C$334:$C$347=3)*(LEFT($A$334:$A$347,LEN(A333)+1)=A333&amp;".")*$I$334:$I$347),2)</f>
        <v/>
      </c>
      <c r="J333" s="121" t="n"/>
      <c r="K333" s="121" t="n"/>
      <c r="L333" s="120" t="n"/>
      <c r="M333" s="120" t="n"/>
      <c r="N333" s="120" t="n"/>
      <c r="O333" s="120" t="n"/>
      <c r="P333" s="120" t="n"/>
      <c r="Q333" s="121" t="n"/>
    </row>
    <row r="334">
      <c r="A334" s="125" t="inlineStr">
        <is>
          <t>8.1</t>
        </is>
      </c>
      <c r="B334" s="126" t="inlineStr">
        <is>
          <t>8.1 生产部署与全量迁移</t>
        </is>
      </c>
      <c r="C334" s="125" t="n">
        <v>2</v>
      </c>
      <c r="D334" s="126" t="n"/>
      <c r="E334" s="125" t="inlineStr">
        <is>
          <t>DevB/Wade</t>
        </is>
      </c>
      <c r="F334" s="146" t="n">
        <v>46381</v>
      </c>
      <c r="G334" s="146" t="n">
        <v>46387</v>
      </c>
      <c r="H334" s="128" t="n">
        <v>5</v>
      </c>
      <c r="I334" s="129">
        <f>ROUND(SUMPRODUCT(($C$335:$C$338=3)*(LEFT($A$335:$A$338,LEN(A334)+1)=A334&amp;".")*$I$335:$I$338),2)</f>
        <v/>
      </c>
      <c r="J334" s="126" t="n"/>
      <c r="K334" s="126" t="n"/>
      <c r="L334" s="125" t="n"/>
      <c r="M334" s="125" t="n"/>
      <c r="N334" s="125" t="n"/>
      <c r="O334" s="125" t="n"/>
      <c r="P334" s="125" t="n"/>
      <c r="Q334" s="126" t="n"/>
    </row>
    <row r="335">
      <c r="A335" s="135" t="inlineStr">
        <is>
          <t>8.1.1</t>
        </is>
      </c>
      <c r="B335" s="136" t="inlineStr">
        <is>
          <t>生产部署执行（K8s生产环境：服务+前端+UC初始配置）</t>
        </is>
      </c>
      <c r="C335" s="135" t="n">
        <v>3</v>
      </c>
      <c r="D335" s="136" t="inlineStr">
        <is>
          <t>生产系统</t>
        </is>
      </c>
      <c r="E335" s="135" t="inlineStr">
        <is>
          <t>Wade</t>
        </is>
      </c>
      <c r="F335" s="148" t="n">
        <v>46381</v>
      </c>
      <c r="G335" s="148" t="n">
        <v>46381</v>
      </c>
      <c r="H335" s="138" t="n">
        <v>1</v>
      </c>
      <c r="I335" s="139" t="n">
        <v>1</v>
      </c>
      <c r="J335" s="136" t="inlineStr">
        <is>
          <t>人工主导</t>
        </is>
      </c>
      <c r="K335" s="136" t="inlineStr">
        <is>
          <t>7.2.8</t>
        </is>
      </c>
      <c r="L335" s="135" t="n"/>
      <c r="M335" s="135" t="n"/>
      <c r="N335" s="135" t="n"/>
      <c r="O335" s="135" t="n"/>
      <c r="P335" s="135" t="n"/>
      <c r="Q335" s="136" t="inlineStr">
        <is>
          <t>直估1·AI执行×1</t>
        </is>
      </c>
    </row>
    <row r="336">
      <c r="A336" s="135" t="inlineStr">
        <is>
          <t>8.1.2</t>
        </is>
      </c>
      <c r="B336" s="136" t="inlineStr">
        <is>
          <t>上线验证（冒烟+核心场景界面核对：检索/预览/导出/审计）</t>
        </is>
      </c>
      <c r="C336" s="135" t="n">
        <v>3</v>
      </c>
      <c r="D336" s="136" t="n"/>
      <c r="E336" s="135" t="inlineStr">
        <is>
          <t>Wade</t>
        </is>
      </c>
      <c r="F336" s="148" t="n">
        <v>46384</v>
      </c>
      <c r="G336" s="148" t="n">
        <v>46384</v>
      </c>
      <c r="H336" s="138" t="n">
        <v>1</v>
      </c>
      <c r="I336" s="139" t="n">
        <v>1</v>
      </c>
      <c r="J336" s="136" t="inlineStr">
        <is>
          <t>人工主导</t>
        </is>
      </c>
      <c r="K336" s="136" t="inlineStr">
        <is>
          <t>8.1.1</t>
        </is>
      </c>
      <c r="L336" s="135" t="n"/>
      <c r="M336" s="135" t="n"/>
      <c r="N336" s="135" t="n"/>
      <c r="O336" s="135" t="n"/>
      <c r="P336" s="135" t="n"/>
      <c r="Q336" s="136" t="inlineStr">
        <is>
          <t>直估1·AI执行×1</t>
        </is>
      </c>
    </row>
    <row r="337">
      <c r="A337" s="135" t="inlineStr">
        <is>
          <t>8.1.3</t>
        </is>
      </c>
      <c r="B337" s="136" t="inlineStr">
        <is>
          <t>CC生产全量迁移（分批迁移+终版对账·自动化执行+值守）</t>
        </is>
      </c>
      <c r="C337" s="135" t="n">
        <v>3</v>
      </c>
      <c r="D337" s="136" t="n"/>
      <c r="E337" s="135" t="inlineStr">
        <is>
          <t>DevB</t>
        </is>
      </c>
      <c r="F337" s="148" t="n">
        <v>46384</v>
      </c>
      <c r="G337" s="148" t="n">
        <v>46386</v>
      </c>
      <c r="H337" s="138" t="n">
        <v>3</v>
      </c>
      <c r="I337" s="139" t="n">
        <v>2.25</v>
      </c>
      <c r="J337" s="136" t="inlineStr">
        <is>
          <t>AI辅助</t>
        </is>
      </c>
      <c r="K337" s="136" t="inlineStr">
        <is>
          <t>8.1.1</t>
        </is>
      </c>
      <c r="L337" s="135" t="n"/>
      <c r="M337" s="135" t="n"/>
      <c r="N337" s="135" t="n"/>
      <c r="O337" s="135" t="n"/>
      <c r="P337" s="135" t="n"/>
      <c r="Q337" s="136" t="inlineStr">
        <is>
          <t>直估3·AI执行×0.75</t>
        </is>
      </c>
    </row>
    <row r="338">
      <c r="A338" s="135" t="inlineStr">
        <is>
          <t>8.1.4</t>
        </is>
      </c>
      <c r="B338" s="136" t="inlineStr">
        <is>
          <t>生产数据就绪核查+生产作业启动（增量接入/到期处置调度）</t>
        </is>
      </c>
      <c r="C338" s="135" t="n">
        <v>3</v>
      </c>
      <c r="D338" s="136" t="n"/>
      <c r="E338" s="135" t="inlineStr">
        <is>
          <t>DevB</t>
        </is>
      </c>
      <c r="F338" s="148" t="n">
        <v>46387</v>
      </c>
      <c r="G338" s="148" t="n">
        <v>46387</v>
      </c>
      <c r="H338" s="138" t="n">
        <v>1</v>
      </c>
      <c r="I338" s="139" t="n">
        <v>0.75</v>
      </c>
      <c r="J338" s="136" t="inlineStr">
        <is>
          <t>AI辅助</t>
        </is>
      </c>
      <c r="K338" s="136" t="inlineStr">
        <is>
          <t>8.1.3</t>
        </is>
      </c>
      <c r="L338" s="135" t="n"/>
      <c r="M338" s="135" t="n"/>
      <c r="N338" s="135" t="n"/>
      <c r="O338" s="135" t="n"/>
      <c r="P338" s="135" t="n"/>
      <c r="Q338" s="136" t="inlineStr">
        <is>
          <t>直估1·AI执行×0.75</t>
        </is>
      </c>
    </row>
    <row r="339">
      <c r="A339" s="125" t="inlineStr">
        <is>
          <t>8.2</t>
        </is>
      </c>
      <c r="B339" s="126" t="inlineStr">
        <is>
          <t>8.2 上线值守与交付收尾</t>
        </is>
      </c>
      <c r="C339" s="125" t="n">
        <v>2</v>
      </c>
      <c r="D339" s="126" t="n"/>
      <c r="E339" s="125" t="inlineStr">
        <is>
          <t>DevB/Mandy/Mark/Wade</t>
        </is>
      </c>
      <c r="F339" s="146" t="n">
        <v>46384</v>
      </c>
      <c r="G339" s="146" t="n">
        <v>46387</v>
      </c>
      <c r="H339" s="128" t="n">
        <v>4</v>
      </c>
      <c r="I339" s="129">
        <f>ROUND(SUMPRODUCT(($C$340:$C$347=3)*(LEFT($A$340:$A$347,LEN(A339)+1)=A339&amp;".")*$I$340:$I$347),2)</f>
        <v/>
      </c>
      <c r="J339" s="126" t="n"/>
      <c r="K339" s="126" t="n"/>
      <c r="L339" s="125" t="n"/>
      <c r="M339" s="125" t="n"/>
      <c r="N339" s="125" t="n"/>
      <c r="O339" s="125" t="n"/>
      <c r="P339" s="125" t="n"/>
      <c r="Q339" s="126" t="n"/>
    </row>
    <row r="340">
      <c r="A340" s="135" t="inlineStr">
        <is>
          <t>8.2.1</t>
        </is>
      </c>
      <c r="B340" s="136" t="inlineStr">
        <is>
          <t>SLC文档汇编：部署与运维（N4）</t>
        </is>
      </c>
      <c r="C340" s="135" t="n">
        <v>3</v>
      </c>
      <c r="D340" s="136" t="n"/>
      <c r="E340" s="135" t="inlineStr">
        <is>
          <t>Mandy</t>
        </is>
      </c>
      <c r="F340" s="148" t="n">
        <v>46384</v>
      </c>
      <c r="G340" s="148" t="n">
        <v>46384</v>
      </c>
      <c r="H340" s="138" t="n">
        <v>1</v>
      </c>
      <c r="I340" s="139" t="n">
        <v>0.38</v>
      </c>
      <c r="J340" s="136" t="inlineStr">
        <is>
          <t>AI辅助</t>
        </is>
      </c>
      <c r="K340" s="136" t="inlineStr">
        <is>
          <t>7.2.6</t>
        </is>
      </c>
      <c r="L340" s="135" t="n"/>
      <c r="M340" s="135" t="n"/>
      <c r="N340" s="135" t="n"/>
      <c r="O340" s="135" t="n"/>
      <c r="P340" s="135" t="n"/>
      <c r="Q340" s="136" t="inlineStr">
        <is>
          <t>直估0.5·AI执行×0.75</t>
        </is>
      </c>
    </row>
    <row r="341">
      <c r="A341" s="135" t="inlineStr">
        <is>
          <t>8.2.2</t>
        </is>
      </c>
      <c r="B341" s="136" t="inlineStr">
        <is>
          <t>上线首日支持与问题记录（业务侧）</t>
        </is>
      </c>
      <c r="C341" s="135" t="n">
        <v>3</v>
      </c>
      <c r="D341" s="136" t="n"/>
      <c r="E341" s="135" t="inlineStr">
        <is>
          <t>Mandy</t>
        </is>
      </c>
      <c r="F341" s="148" t="n">
        <v>46384</v>
      </c>
      <c r="G341" s="148" t="n">
        <v>46385</v>
      </c>
      <c r="H341" s="138" t="n">
        <v>2</v>
      </c>
      <c r="I341" s="139" t="n">
        <v>0.5</v>
      </c>
      <c r="J341" s="136" t="inlineStr">
        <is>
          <t>人工主导</t>
        </is>
      </c>
      <c r="K341" s="136" t="inlineStr">
        <is>
          <t>8.1.1</t>
        </is>
      </c>
      <c r="L341" s="135" t="n"/>
      <c r="M341" s="135" t="n"/>
      <c r="N341" s="135" t="n"/>
      <c r="O341" s="135" t="n"/>
      <c r="P341" s="135" t="n"/>
      <c r="Q341" s="136" t="inlineStr">
        <is>
          <t>直估0.5·AI执行×1</t>
        </is>
      </c>
    </row>
    <row r="342">
      <c r="A342" s="135" t="inlineStr">
        <is>
          <t>8.2.3</t>
        </is>
      </c>
      <c r="B342" s="136" t="inlineStr">
        <is>
          <t>CC核心场景业务确认（业务方）</t>
        </is>
      </c>
      <c r="C342" s="135" t="n">
        <v>3</v>
      </c>
      <c r="D342" s="136" t="n"/>
      <c r="E342" s="135" t="inlineStr">
        <is>
          <t>Mandy</t>
        </is>
      </c>
      <c r="F342" s="148" t="n">
        <v>46385</v>
      </c>
      <c r="G342" s="148" t="n">
        <v>46386</v>
      </c>
      <c r="H342" s="138" t="n">
        <v>2</v>
      </c>
      <c r="I342" s="139" t="n">
        <v>1</v>
      </c>
      <c r="J342" s="136" t="inlineStr">
        <is>
          <t>人工主导</t>
        </is>
      </c>
      <c r="K342" s="136" t="inlineStr">
        <is>
          <t>8.1.2</t>
        </is>
      </c>
      <c r="L342" s="135" t="n"/>
      <c r="M342" s="135" t="n"/>
      <c r="N342" s="135" t="n"/>
      <c r="O342" s="135" t="n"/>
      <c r="P342" s="135" t="n"/>
      <c r="Q342" s="136" t="inlineStr">
        <is>
          <t>直估1·AI执行×1</t>
        </is>
      </c>
    </row>
    <row r="343">
      <c r="A343" s="135" t="inlineStr">
        <is>
          <t>8.2.4</t>
        </is>
      </c>
      <c r="B343" s="136" t="inlineStr">
        <is>
          <t>上线Checklist执行与交付物核对</t>
        </is>
      </c>
      <c r="C343" s="135" t="n">
        <v>3</v>
      </c>
      <c r="D343" s="136" t="n"/>
      <c r="E343" s="135" t="inlineStr">
        <is>
          <t>Mandy</t>
        </is>
      </c>
      <c r="F343" s="148" t="n">
        <v>46387</v>
      </c>
      <c r="G343" s="148" t="n">
        <v>46387</v>
      </c>
      <c r="H343" s="138" t="n">
        <v>1</v>
      </c>
      <c r="I343" s="139" t="n">
        <v>0.75</v>
      </c>
      <c r="J343" s="136" t="inlineStr">
        <is>
          <t>AI辅助</t>
        </is>
      </c>
      <c r="K343" s="136" t="inlineStr">
        <is>
          <t>8.2.3</t>
        </is>
      </c>
      <c r="L343" s="135" t="n"/>
      <c r="M343" s="135" t="n"/>
      <c r="N343" s="135" t="n"/>
      <c r="O343" s="135" t="n"/>
      <c r="P343" s="135" t="n"/>
      <c r="Q343" s="136" t="inlineStr">
        <is>
          <t>直估1·AI执行×0.75</t>
        </is>
      </c>
    </row>
    <row r="344">
      <c r="A344" s="135" t="inlineStr">
        <is>
          <t>8.2.5</t>
        </is>
      </c>
      <c r="B344" s="136" t="inlineStr">
        <is>
          <t>项目复盘与经验教训文档（交付会12/31后AI成文归档）</t>
        </is>
      </c>
      <c r="C344" s="135" t="n">
        <v>3</v>
      </c>
      <c r="D344" s="136" t="n"/>
      <c r="E344" s="135" t="inlineStr">
        <is>
          <t>Mandy</t>
        </is>
      </c>
      <c r="F344" s="148" t="n">
        <v>46387</v>
      </c>
      <c r="G344" s="148" t="n">
        <v>46387</v>
      </c>
      <c r="H344" s="138" t="n">
        <v>1</v>
      </c>
      <c r="I344" s="139" t="n">
        <v>0</v>
      </c>
      <c r="J344" s="136" t="inlineStr">
        <is>
          <t>人工主导</t>
        </is>
      </c>
      <c r="K344" s="136" t="n"/>
      <c r="L344" s="135" t="n"/>
      <c r="M344" s="135" t="n"/>
      <c r="N344" s="135" t="n"/>
      <c r="O344" s="135" t="n"/>
      <c r="P344" s="135" t="n"/>
      <c r="Q344" s="136" t="inlineStr">
        <is>
          <t>直估1人天·交付后首日（1/4）收尾，不阻塞交付；直估0·AI执行×1</t>
        </is>
      </c>
    </row>
    <row r="345">
      <c r="A345" s="135" t="inlineStr">
        <is>
          <t>8.2.6</t>
        </is>
      </c>
      <c r="B345" s="136" t="inlineStr">
        <is>
          <t>上线值守与运维交接（N4-5·应用侧：上线窗口值守、运维交接与培训材料）</t>
        </is>
      </c>
      <c r="C345" s="135" t="n">
        <v>3</v>
      </c>
      <c r="D345" s="136" t="n"/>
      <c r="E345" s="135" t="inlineStr">
        <is>
          <t>Wade</t>
        </is>
      </c>
      <c r="F345" s="148" t="n">
        <v>46385</v>
      </c>
      <c r="G345" s="148" t="n">
        <v>46385</v>
      </c>
      <c r="H345" s="138" t="n">
        <v>1</v>
      </c>
      <c r="I345" s="139" t="n">
        <v>1</v>
      </c>
      <c r="J345" s="136" t="inlineStr">
        <is>
          <t>人工主导</t>
        </is>
      </c>
      <c r="K345" s="136" t="inlineStr">
        <is>
          <t>8.1.2</t>
        </is>
      </c>
      <c r="L345" s="135" t="n"/>
      <c r="M345" s="135" t="n"/>
      <c r="N345" s="135" t="n"/>
      <c r="O345" s="135" t="n"/>
      <c r="P345" s="135" t="n"/>
      <c r="Q345" s="136" t="inlineStr">
        <is>
          <t>直估1·AI执行×1</t>
        </is>
      </c>
    </row>
    <row r="346">
      <c r="A346" s="135" t="inlineStr">
        <is>
          <t>8.2.7</t>
        </is>
      </c>
      <c r="B346" s="136" t="inlineStr">
        <is>
          <t>上线值守与运维交接（N4-5·数据侧）</t>
        </is>
      </c>
      <c r="C346" s="135" t="n">
        <v>3</v>
      </c>
      <c r="D346" s="136" t="n"/>
      <c r="E346" s="135" t="inlineStr">
        <is>
          <t>DevB</t>
        </is>
      </c>
      <c r="F346" s="148" t="n">
        <v>46386</v>
      </c>
      <c r="G346" s="148" t="n">
        <v>46386</v>
      </c>
      <c r="H346" s="138" t="n">
        <v>1</v>
      </c>
      <c r="I346" s="139" t="n">
        <v>0.25</v>
      </c>
      <c r="J346" s="136" t="inlineStr">
        <is>
          <t>人工主导</t>
        </is>
      </c>
      <c r="K346" s="136" t="inlineStr">
        <is>
          <t>8.1.1</t>
        </is>
      </c>
      <c r="L346" s="135" t="n"/>
      <c r="M346" s="135" t="n"/>
      <c r="N346" s="135" t="n"/>
      <c r="O346" s="135" t="n"/>
      <c r="P346" s="135" t="n"/>
      <c r="Q346" s="136" t="inlineStr">
        <is>
          <t>直估0.25·AI执行×1</t>
        </is>
      </c>
    </row>
    <row r="347">
      <c r="A347" s="130" t="inlineStr">
        <is>
          <t>8.2.8</t>
        </is>
      </c>
      <c r="B347" s="131" t="inlineStr">
        <is>
          <t>生产上线成功·项目交付完成◆M7</t>
        </is>
      </c>
      <c r="C347" s="130" t="n">
        <v>3</v>
      </c>
      <c r="D347" s="131" t="inlineStr">
        <is>
          <t>交付确认单</t>
        </is>
      </c>
      <c r="E347" s="130" t="inlineStr">
        <is>
          <t>Mark</t>
        </is>
      </c>
      <c r="F347" s="147" t="n">
        <v>46387</v>
      </c>
      <c r="G347" s="147" t="n">
        <v>46387</v>
      </c>
      <c r="H347" s="133" t="n">
        <v>1</v>
      </c>
      <c r="I347" s="134" t="n">
        <v>0</v>
      </c>
      <c r="J347" s="131" t="inlineStr">
        <is>
          <t>人工主导</t>
        </is>
      </c>
      <c r="K347" s="131" t="inlineStr">
        <is>
          <t>8.1.4,8.1.2,8.2.4</t>
        </is>
      </c>
      <c r="L347" s="130" t="n"/>
      <c r="M347" s="130" t="n"/>
      <c r="N347" s="130" t="n"/>
      <c r="O347" s="130" t="n"/>
      <c r="P347" s="130" t="n"/>
      <c r="Q347" s="131" t="inlineStr">
        <is>
          <t>直估0·AI执行×1</t>
        </is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K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8" customWidth="1" min="3" max="3"/>
    <col width="13" customWidth="1" min="4" max="4"/>
    <col width="22" customWidth="1" min="5" max="5"/>
    <col width="42" customWidth="1" min="6" max="6"/>
    <col width="10" customWidth="1" min="7" max="7"/>
    <col width="11" customWidth="1" min="8" max="8"/>
    <col width="10" customWidth="1" min="9" max="9"/>
    <col width="8" customWidth="1" min="10" max="10"/>
    <col width="14" customWidth="1" min="11" max="11"/>
  </cols>
  <sheetData>
    <row r="1" ht="26" customHeight="1">
      <c r="A1" s="5" t="inlineStr">
        <is>
          <t>26项功能覆盖对照（源文件Scope-Phase1 ↔ WBS，逐项可追溯）</t>
        </is>
      </c>
    </row>
    <row r="2">
      <c r="A2" s="7" t="inlineStr">
        <is>
          <t>功能编号</t>
        </is>
      </c>
      <c r="B2" s="7" t="inlineStr">
        <is>
          <t>模块</t>
        </is>
      </c>
      <c r="C2" s="7" t="inlineStr">
        <is>
          <t>业务场景</t>
        </is>
      </c>
      <c r="D2" s="7" t="inlineStr">
        <is>
          <t>关键功能</t>
        </is>
      </c>
      <c r="E2" s="7" t="inlineStr">
        <is>
          <t>具体功能（与源文件一致）</t>
        </is>
      </c>
      <c r="F2" s="7" t="inlineStr">
        <is>
          <t>功能描述（源文件）</t>
        </is>
      </c>
      <c r="G2" s="7" t="inlineStr">
        <is>
          <t>主开发任务(WBS)</t>
        </is>
      </c>
      <c r="H2" s="7" t="inlineStr">
        <is>
          <t>界面/协作任务(WBS)</t>
        </is>
      </c>
      <c r="I2" s="7" t="inlineStr">
        <is>
          <t>走查任务(WBS)</t>
        </is>
      </c>
      <c r="J2" s="7" t="inlineStr">
        <is>
          <t>全量测试</t>
        </is>
      </c>
      <c r="K2" s="7" t="inlineStr">
        <is>
          <t>开发负责人 / 计划完成</t>
        </is>
      </c>
    </row>
    <row r="3" ht="40" customHeight="1">
      <c r="A3" s="30" t="inlineStr">
        <is>
          <t>F01-01</t>
        </is>
      </c>
      <c r="B3" s="31" t="inlineStr">
        <is>
          <t>模块1·存量历史数据迁移与标准化</t>
        </is>
      </c>
      <c r="C3" s="31" t="inlineStr">
        <is>
          <t>退役系统历史数据全量入库归档</t>
        </is>
      </c>
      <c r="D3" s="31" t="inlineStr">
        <is>
          <t>历史数据批量导入</t>
        </is>
      </c>
      <c r="E3" s="31" t="inlineStr">
        <is>
          <t>结构化历史数据批量导入</t>
        </is>
      </c>
      <c r="F3" s="31" t="inlineStr">
        <is>
          <t>支持从退役系统批量提取结构化历史数据，并按照既定迁移范围和映射规则导入RIMS。</t>
        </is>
      </c>
      <c r="G3" s="30" t="inlineStr">
        <is>
          <t>4.6</t>
        </is>
      </c>
      <c r="H3" s="30" t="inlineStr">
        <is>
          <t>同组·前端行</t>
        </is>
      </c>
      <c r="I3" s="30" t="inlineStr">
        <is>
          <t>同组·测试行</t>
        </is>
      </c>
      <c r="J3" s="30" t="inlineStr">
        <is>
          <t>7.1.1</t>
        </is>
      </c>
      <c r="K3" s="31" t="inlineStr">
        <is>
          <t>Wade/DevB / 10/30</t>
        </is>
      </c>
    </row>
    <row r="4" ht="40" customHeight="1">
      <c r="A4" s="15" t="inlineStr">
        <is>
          <t>F01-02</t>
        </is>
      </c>
      <c r="B4" s="32" t="inlineStr">
        <is>
          <t>模块1·存量历史数据迁移与标准化</t>
        </is>
      </c>
      <c r="C4" s="32" t="inlineStr">
        <is>
          <t>退役系统历史数据全量入库归档</t>
        </is>
      </c>
      <c r="D4" s="32" t="inlineStr">
        <is>
          <t>历史数据批量导入</t>
        </is>
      </c>
      <c r="E4" s="32" t="inlineStr">
        <is>
          <t>非结构化文件及离线包批量导入</t>
        </is>
      </c>
      <c r="F4" s="32" t="inlineStr">
        <is>
          <t>支持从多种文件来源和离线介质批量导入附件、普通文件、数据库备份包及压缩归档包，并保障大文件及传输中断场景下的可靠导入、原始属性保留和文件包解析。</t>
        </is>
      </c>
      <c r="G4" s="15" t="inlineStr">
        <is>
          <t>4.7</t>
        </is>
      </c>
      <c r="H4" s="15" t="inlineStr">
        <is>
          <t>同组·前端行</t>
        </is>
      </c>
      <c r="I4" s="15" t="inlineStr">
        <is>
          <t>同组·测试行</t>
        </is>
      </c>
      <c r="J4" s="15" t="inlineStr">
        <is>
          <t>7.1.1</t>
        </is>
      </c>
      <c r="K4" s="32" t="inlineStr">
        <is>
          <t>Wade/DevB / 11/03</t>
        </is>
      </c>
    </row>
    <row r="5" ht="40" customHeight="1">
      <c r="A5" s="30" t="inlineStr">
        <is>
          <t>F01-03</t>
        </is>
      </c>
      <c r="B5" s="31" t="inlineStr">
        <is>
          <t>模块1·存量历史数据迁移与标准化</t>
        </is>
      </c>
      <c r="C5" s="31" t="inlineStr">
        <is>
          <t>退役系统历史数据全量入库归档</t>
        </is>
      </c>
      <c r="D5" s="31" t="inlineStr">
        <is>
          <t>迁移规则配置</t>
        </is>
      </c>
      <c r="E5" s="31" t="inlineStr">
        <is>
          <t>数据导入规则配置</t>
        </is>
      </c>
      <c r="F5" s="31" t="inlineStr">
        <is>
          <t>面向退役系统迁移项目，配置源数据与RIMS标准字段的对应关系、格式转换和校验规则，并在导入过程中执行。</t>
        </is>
      </c>
      <c r="G5" s="30" t="inlineStr">
        <is>
          <t>4.8</t>
        </is>
      </c>
      <c r="H5" s="30" t="inlineStr">
        <is>
          <t>同组·前端行</t>
        </is>
      </c>
      <c r="I5" s="30" t="inlineStr">
        <is>
          <t>同组·测试行</t>
        </is>
      </c>
      <c r="J5" s="30" t="inlineStr">
        <is>
          <t>7.1.1</t>
        </is>
      </c>
      <c r="K5" s="31" t="inlineStr">
        <is>
          <t>Wade/DevB / 11/05</t>
        </is>
      </c>
    </row>
    <row r="6" ht="40" customHeight="1">
      <c r="A6" s="15" t="inlineStr">
        <is>
          <t>F01-04</t>
        </is>
      </c>
      <c r="B6" s="32" t="inlineStr">
        <is>
          <t>模块1·存量历史数据迁移与标准化</t>
        </is>
      </c>
      <c r="C6" s="32" t="inlineStr">
        <is>
          <t>确保迁移过程数据完整可追溯</t>
        </is>
      </c>
      <c r="D6" s="32" t="inlineStr">
        <is>
          <t>迁移完整性校验</t>
        </is>
      </c>
      <c r="E6" s="32" t="inlineStr">
        <is>
          <t>迁移前完整性基准记录</t>
        </is>
      </c>
      <c r="F6" s="32" t="inlineStr">
        <is>
          <t>在迁移前记录文件或数据集的完整性校验信息，作为迁移完成后的比对基准。</t>
        </is>
      </c>
      <c r="G6" s="15" t="inlineStr">
        <is>
          <t>4.9</t>
        </is>
      </c>
      <c r="H6" s="15" t="inlineStr">
        <is>
          <t>同组·前端行</t>
        </is>
      </c>
      <c r="I6" s="15" t="inlineStr">
        <is>
          <t>同组·测试行</t>
        </is>
      </c>
      <c r="J6" s="15" t="inlineStr">
        <is>
          <t>7.1.1</t>
        </is>
      </c>
      <c r="K6" s="32" t="inlineStr">
        <is>
          <t>Wade/DevB / 11/06</t>
        </is>
      </c>
    </row>
    <row r="7" ht="40" customHeight="1">
      <c r="A7" s="30" t="inlineStr">
        <is>
          <t>F01-05</t>
        </is>
      </c>
      <c r="B7" s="31" t="inlineStr">
        <is>
          <t>模块1·存量历史数据迁移与标准化</t>
        </is>
      </c>
      <c r="C7" s="31" t="inlineStr">
        <is>
          <t>确保迁移过程数据完整可追溯</t>
        </is>
      </c>
      <c r="D7" s="31" t="inlineStr">
        <is>
          <t>迁移完整性校验</t>
        </is>
      </c>
      <c r="E7" s="31" t="inlineStr">
        <is>
          <t>迁移后完整性比对</t>
        </is>
      </c>
      <c r="F7" s="31" t="inlineStr">
        <is>
          <t>迁移完成后对源端与目标端数据进行完整性比对，识别缺失、损坏或异常变更。</t>
        </is>
      </c>
      <c r="G7" s="30" t="inlineStr">
        <is>
          <t>4.10</t>
        </is>
      </c>
      <c r="H7" s="30" t="inlineStr">
        <is>
          <t>同组·前端行</t>
        </is>
      </c>
      <c r="I7" s="30" t="inlineStr">
        <is>
          <t>同组·测试行</t>
        </is>
      </c>
      <c r="J7" s="30" t="inlineStr">
        <is>
          <t>7.1.1</t>
        </is>
      </c>
      <c r="K7" s="31" t="inlineStr">
        <is>
          <t>Wade/DevB / 11/09</t>
        </is>
      </c>
    </row>
    <row r="8" ht="40" customHeight="1">
      <c r="A8" s="15" t="inlineStr">
        <is>
          <t>F02-01</t>
        </is>
      </c>
      <c r="B8" s="32" t="inlineStr">
        <is>
          <t>模块2·实时数据接入与常态化数据治理</t>
        </is>
      </c>
      <c r="C8" s="32" t="inlineStr">
        <is>
          <t>多源异构数据接入与元数据标准化规整</t>
        </is>
      </c>
      <c r="D8" s="32" t="inlineStr">
        <is>
          <t>元数据标准与来源管理</t>
        </is>
      </c>
      <c r="E8" s="32" t="inlineStr">
        <is>
          <t>统一元数据模型</t>
        </is>
      </c>
      <c r="F8" s="32" t="inlineStr">
        <is>
          <t>建立统一元数据字段体系，明确字段定义、数据类型、取值规则和必填要求，包括来源系统、业务域、记录类型、创建时间、责任人、保留等级和密级等。</t>
        </is>
      </c>
      <c r="G8" s="15" t="inlineStr">
        <is>
          <t>4.11</t>
        </is>
      </c>
      <c r="H8" s="15" t="inlineStr">
        <is>
          <t>同组·前端行</t>
        </is>
      </c>
      <c r="I8" s="15" t="inlineStr">
        <is>
          <t>同组·测试行</t>
        </is>
      </c>
      <c r="J8" s="15" t="inlineStr">
        <is>
          <t>7.1.1</t>
        </is>
      </c>
      <c r="K8" s="32" t="inlineStr">
        <is>
          <t>Wade/DevB / 11/10</t>
        </is>
      </c>
    </row>
    <row r="9" ht="40" customHeight="1">
      <c r="A9" s="30" t="inlineStr">
        <is>
          <t>F02-02</t>
        </is>
      </c>
      <c r="B9" s="31" t="inlineStr">
        <is>
          <t>模块2·实时数据接入与常态化数据治理</t>
        </is>
      </c>
      <c r="C9" s="31" t="inlineStr">
        <is>
          <t>多源异构数据接入与元数据标准化规整</t>
        </is>
      </c>
      <c r="D9" s="31" t="inlineStr">
        <is>
          <t>元数据标准与来源管理</t>
        </is>
      </c>
      <c r="E9" s="31" t="inlineStr">
        <is>
          <t>来源系统信息绑定</t>
        </is>
      </c>
      <c r="F9" s="31" t="inlineStr">
        <is>
          <t>在记录接入和入库时引用统一源系统编码，并绑定退役项目、迁移批次等来源属性，支持按来源检索和统计。</t>
        </is>
      </c>
      <c r="G9" s="30" t="inlineStr">
        <is>
          <t>4.12</t>
        </is>
      </c>
      <c r="H9" s="30" t="inlineStr">
        <is>
          <t>同组·前端行</t>
        </is>
      </c>
      <c r="I9" s="30" t="inlineStr">
        <is>
          <t>同组·测试行</t>
        </is>
      </c>
      <c r="J9" s="30" t="inlineStr">
        <is>
          <t>7.1.1</t>
        </is>
      </c>
      <c r="K9" s="31" t="inlineStr">
        <is>
          <t>Wade/DevB / 11/11</t>
        </is>
      </c>
    </row>
    <row r="10" ht="40" customHeight="1">
      <c r="A10" s="15" t="inlineStr">
        <is>
          <t>F03-01</t>
        </is>
      </c>
      <c r="B10" s="32" t="inlineStr">
        <is>
          <t>模块3·记录归档与档案全生命周期管理</t>
        </is>
      </c>
      <c r="C10" s="32" t="inlineStr">
        <is>
          <t>归档记录定期删除与合规保留</t>
        </is>
      </c>
      <c r="D10" s="32" t="inlineStr">
        <is>
          <t>到期处置与Legal Hold管理</t>
        </is>
      </c>
      <c r="E10" s="32" t="inlineStr">
        <is>
          <t>保留期限到期自动删除</t>
        </is>
      </c>
      <c r="F10" s="32" t="inlineStr">
        <is>
          <t>根据预设保留策略，对到期归档记录执行自动删除或标记销毁。</t>
        </is>
      </c>
      <c r="G10" s="15" t="inlineStr">
        <is>
          <t>5.1</t>
        </is>
      </c>
      <c r="H10" s="15" t="inlineStr">
        <is>
          <t>同组·前端行</t>
        </is>
      </c>
      <c r="I10" s="15" t="inlineStr">
        <is>
          <t>同组·测试行</t>
        </is>
      </c>
      <c r="J10" s="15" t="inlineStr">
        <is>
          <t>7.1.1</t>
        </is>
      </c>
      <c r="K10" s="32" t="inlineStr">
        <is>
          <t>Wade/DevB / 11/18</t>
        </is>
      </c>
    </row>
    <row r="11" ht="40" customHeight="1">
      <c r="A11" s="30" t="inlineStr">
        <is>
          <t>F03-02</t>
        </is>
      </c>
      <c r="B11" s="31" t="inlineStr">
        <is>
          <t>模块3·记录归档与档案全生命周期管理</t>
        </is>
      </c>
      <c r="C11" s="31" t="inlineStr">
        <is>
          <t>归档记录定期删除与合规保留</t>
        </is>
      </c>
      <c r="D11" s="31" t="inlineStr">
        <is>
          <t>到期处置与Legal Hold管理</t>
        </is>
      </c>
      <c r="E11" s="31" t="inlineStr">
        <is>
          <t>Legal Hold 冻结</t>
        </is>
      </c>
      <c r="F11" s="31" t="inlineStr">
        <is>
          <t>对涉诉、审计或合规调查中的记录设置Legal Hold，暂停删除和修改。</t>
        </is>
      </c>
      <c r="G11" s="30" t="inlineStr">
        <is>
          <t>5.2</t>
        </is>
      </c>
      <c r="H11" s="30" t="inlineStr">
        <is>
          <t>同组·前端行</t>
        </is>
      </c>
      <c r="I11" s="30" t="inlineStr">
        <is>
          <t>同组·测试行</t>
        </is>
      </c>
      <c r="J11" s="30" t="inlineStr">
        <is>
          <t>7.1.1</t>
        </is>
      </c>
      <c r="K11" s="31" t="inlineStr">
        <is>
          <t>Wade/DevB / 11/20</t>
        </is>
      </c>
    </row>
    <row r="12" ht="40" customHeight="1">
      <c r="A12" s="15" t="inlineStr">
        <is>
          <t>F04-01</t>
        </is>
      </c>
      <c r="B12" s="32" t="inlineStr">
        <is>
          <t>模块4·数据存储与境内数据安全管控</t>
        </is>
      </c>
      <c r="C12" s="32" t="inlineStr">
        <is>
          <t>满足数据不出境和本地化合规要求</t>
        </is>
      </c>
      <c r="D12" s="32" t="inlineStr">
        <is>
          <t>数据加密与密钥管理</t>
        </is>
      </c>
      <c r="E12" s="32" t="inlineStr">
        <is>
          <t>数据加密存储</t>
        </is>
      </c>
      <c r="F12" s="32" t="inlineStr">
        <is>
          <t>支持归档数据在存储和传输过程中的加密保护，防止未授权读取和数据泄露。</t>
        </is>
      </c>
      <c r="G12" s="15" t="inlineStr">
        <is>
          <t>5.3</t>
        </is>
      </c>
      <c r="H12" s="15" t="inlineStr">
        <is>
          <t>同组·前端行</t>
        </is>
      </c>
      <c r="I12" s="15" t="inlineStr">
        <is>
          <t>同组·测试行</t>
        </is>
      </c>
      <c r="J12" s="15" t="inlineStr">
        <is>
          <t>7.1.1</t>
        </is>
      </c>
      <c r="K12" s="32" t="inlineStr">
        <is>
          <t>Wade/DevB / 11/23</t>
        </is>
      </c>
    </row>
    <row r="13" ht="40" customHeight="1">
      <c r="A13" s="30" t="inlineStr">
        <is>
          <t>F04-02</t>
        </is>
      </c>
      <c r="B13" s="31" t="inlineStr">
        <is>
          <t>模块4·数据存储与境内数据安全管控</t>
        </is>
      </c>
      <c r="C13" s="31" t="inlineStr">
        <is>
          <t>满足数据不出境和本地化合规要求</t>
        </is>
      </c>
      <c r="D13" s="31" t="inlineStr">
        <is>
          <t>数据加密与密钥管理</t>
        </is>
      </c>
      <c r="E13" s="31" t="inlineStr">
        <is>
          <t>密钥管理</t>
        </is>
      </c>
      <c r="F13" s="31" t="inlineStr">
        <is>
          <t>支持加密密钥的创建、保管、更新、权限控制和操作审计。</t>
        </is>
      </c>
      <c r="G13" s="30" t="inlineStr">
        <is>
          <t>5.4</t>
        </is>
      </c>
      <c r="H13" s="30" t="inlineStr">
        <is>
          <t>同组·前端行</t>
        </is>
      </c>
      <c r="I13" s="30" t="inlineStr">
        <is>
          <t>同组·测试行</t>
        </is>
      </c>
      <c r="J13" s="30" t="inlineStr">
        <is>
          <t>7.1.1</t>
        </is>
      </c>
      <c r="K13" s="31" t="inlineStr">
        <is>
          <t>Wade/DevB / 11/24</t>
        </is>
      </c>
    </row>
    <row r="14" ht="40" customHeight="1">
      <c r="A14" s="15" t="inlineStr">
        <is>
          <t>F04-03</t>
        </is>
      </c>
      <c r="B14" s="32" t="inlineStr">
        <is>
          <t>模块4·数据存储与境内数据安全管控</t>
        </is>
      </c>
      <c r="C14" s="32" t="inlineStr">
        <is>
          <t>确保归档数据可恢复</t>
        </is>
      </c>
      <c r="D14" s="32" t="inlineStr">
        <is>
          <t>数据备份与灾难恢复</t>
        </is>
      </c>
      <c r="E14" s="32" t="inlineStr">
        <is>
          <t>数据备份管理</t>
        </is>
      </c>
      <c r="F14" s="32" t="inlineStr">
        <is>
          <t>支持按照备份策略创建和维护归档数据副本，确保数据副本完整、可用并满足恢复需求。</t>
        </is>
      </c>
      <c r="G14" s="15" t="inlineStr">
        <is>
          <t>5.5</t>
        </is>
      </c>
      <c r="H14" s="15" t="inlineStr">
        <is>
          <t>同组·前端行</t>
        </is>
      </c>
      <c r="I14" s="15" t="inlineStr">
        <is>
          <t>同组·测试行</t>
        </is>
      </c>
      <c r="J14" s="15" t="inlineStr">
        <is>
          <t>7.1.1</t>
        </is>
      </c>
      <c r="K14" s="32" t="inlineStr">
        <is>
          <t>Wade/DevB / 11/25</t>
        </is>
      </c>
    </row>
    <row r="15" ht="40" customHeight="1">
      <c r="A15" s="30" t="inlineStr">
        <is>
          <t>F04-04</t>
        </is>
      </c>
      <c r="B15" s="31" t="inlineStr">
        <is>
          <t>模块4·数据存储与境内数据安全管控</t>
        </is>
      </c>
      <c r="C15" s="31" t="inlineStr">
        <is>
          <t>确保归档数据可恢复</t>
        </is>
      </c>
      <c r="D15" s="31" t="inlineStr">
        <is>
          <t>数据备份与灾难恢复</t>
        </is>
      </c>
      <c r="E15" s="31" t="inlineStr">
        <is>
          <t>异地灾备</t>
        </is>
      </c>
      <c r="F15" s="31" t="inlineStr">
        <is>
          <t>支持将数据副本与主要运行环境隔离保存，保障区域性灾害或重大故障情况下的数据恢复。</t>
        </is>
      </c>
      <c r="G15" s="30" t="inlineStr">
        <is>
          <t>—（Azure原生GRS，配置在3.2.7方案）</t>
        </is>
      </c>
      <c r="H15" s="30" t="inlineStr">
        <is>
          <t>—</t>
        </is>
      </c>
      <c r="I15" s="30" t="inlineStr">
        <is>
          <t>—</t>
        </is>
      </c>
      <c r="J15" s="30" t="inlineStr">
        <is>
          <t>7.1.1</t>
        </is>
      </c>
      <c r="K15" s="31" t="inlineStr">
        <is>
          <t>DevB / 11/09</t>
        </is>
      </c>
    </row>
    <row r="16" ht="40" customHeight="1">
      <c r="A16" s="15" t="inlineStr">
        <is>
          <t>F05-01</t>
        </is>
      </c>
      <c r="B16" s="32" t="inlineStr">
        <is>
          <t>模块5·档案检索、智能发现与业务利用</t>
        </is>
      </c>
      <c r="C16" s="32" t="inlineStr">
        <is>
          <t>QA/IT人员日常基础数据查阅</t>
        </is>
      </c>
      <c r="D16" s="32" t="inlineStr">
        <is>
          <t>基础档案检索</t>
        </is>
      </c>
      <c r="E16" s="32" t="inlineStr">
        <is>
          <t>关键词检索</t>
        </is>
      </c>
      <c r="F16" s="32" t="inlineStr">
        <is>
          <t>支持对归档记录标题、元数据、OCR文本进行关键词检索。</t>
        </is>
      </c>
      <c r="G16" s="15" t="inlineStr">
        <is>
          <t>5.6</t>
        </is>
      </c>
      <c r="H16" s="15" t="inlineStr">
        <is>
          <t>同组·前端行</t>
        </is>
      </c>
      <c r="I16" s="15" t="inlineStr">
        <is>
          <t>同组·测试行</t>
        </is>
      </c>
      <c r="J16" s="15" t="inlineStr">
        <is>
          <t>7.1.1</t>
        </is>
      </c>
      <c r="K16" s="32" t="inlineStr">
        <is>
          <t>Wade/DevB / 11/26</t>
        </is>
      </c>
    </row>
    <row r="17" ht="40" customHeight="1">
      <c r="A17" s="23" t="inlineStr">
        <is>
          <t>F05-02</t>
        </is>
      </c>
      <c r="B17" s="33" t="inlineStr">
        <is>
          <t>模块5·档案检索、智能发现与业务利用</t>
        </is>
      </c>
      <c r="C17" s="33" t="inlineStr">
        <is>
          <t>QA/IT人员日常基础数据查阅</t>
        </is>
      </c>
      <c r="D17" s="33" t="inlineStr">
        <is>
          <t>基础档案检索</t>
        </is>
      </c>
      <c r="E17" s="33" t="inlineStr">
        <is>
          <t>按系统名称检索</t>
        </is>
      </c>
      <c r="F17" s="33" t="inlineStr">
        <is>
          <t>支持按来源系统名称筛选和检索对应归档数据。</t>
        </is>
      </c>
      <c r="G17" s="23" t="inlineStr">
        <is>
          <t>5.8</t>
        </is>
      </c>
      <c r="H17" s="23" t="inlineStr">
        <is>
          <t>同组·前端行</t>
        </is>
      </c>
      <c r="I17" s="23" t="inlineStr">
        <is>
          <t>同组·测试行</t>
        </is>
      </c>
      <c r="J17" s="23" t="inlineStr">
        <is>
          <t>7.1.1</t>
        </is>
      </c>
      <c r="K17" s="33" t="inlineStr">
        <is>
          <t>Wade/DevB / 11/27</t>
        </is>
      </c>
    </row>
    <row r="18" ht="40" customHeight="1">
      <c r="A18" s="15" t="inlineStr">
        <is>
          <t>F05-03</t>
        </is>
      </c>
      <c r="B18" s="32" t="inlineStr">
        <is>
          <t>模块5·档案检索、智能发现与业务利用</t>
        </is>
      </c>
      <c r="C18" s="32" t="inlineStr">
        <is>
          <t>QA/IT人员日常基础数据查阅</t>
        </is>
      </c>
      <c r="D18" s="32" t="inlineStr">
        <is>
          <t>基础档案检索</t>
        </is>
      </c>
      <c r="E18" s="32" t="inlineStr">
        <is>
          <t>按业务时间检索</t>
        </is>
      </c>
      <c r="F18" s="32" t="inlineStr">
        <is>
          <t>支持按创建时间、修改时间、业务发生时间等时间维度检索。</t>
        </is>
      </c>
      <c r="G18" s="15" t="inlineStr">
        <is>
          <t>5.9</t>
        </is>
      </c>
      <c r="H18" s="15" t="inlineStr">
        <is>
          <t>同组·前端行</t>
        </is>
      </c>
      <c r="I18" s="15" t="inlineStr">
        <is>
          <t>同组·测试行</t>
        </is>
      </c>
      <c r="J18" s="15" t="inlineStr">
        <is>
          <t>7.1.1</t>
        </is>
      </c>
      <c r="K18" s="32" t="inlineStr">
        <is>
          <t>Wade/DevB / 11/30</t>
        </is>
      </c>
    </row>
    <row r="19" ht="40" customHeight="1">
      <c r="A19" s="30" t="inlineStr">
        <is>
          <t>F05-04</t>
        </is>
      </c>
      <c r="B19" s="31" t="inlineStr">
        <is>
          <t>模块5·档案检索、智能发现与业务利用</t>
        </is>
      </c>
      <c r="C19" s="31" t="inlineStr">
        <is>
          <t>QA/IT人员日常基础数据查阅</t>
        </is>
      </c>
      <c r="D19" s="31" t="inlineStr">
        <is>
          <t>检索结果展示与预览</t>
        </is>
      </c>
      <c r="E19" s="31" t="inlineStr">
        <is>
          <t>检索结果列表展示</t>
        </is>
      </c>
      <c r="F19" s="31" t="inlineStr">
        <is>
          <t>以列表形式展示检索结果，支持结果分批查看、排序和关键字段展示。</t>
        </is>
      </c>
      <c r="G19" s="30" t="inlineStr">
        <is>
          <t>5.10</t>
        </is>
      </c>
      <c r="H19" s="30" t="inlineStr">
        <is>
          <t>同组·前端行</t>
        </is>
      </c>
      <c r="I19" s="30" t="inlineStr">
        <is>
          <t>同组·测试行</t>
        </is>
      </c>
      <c r="J19" s="30" t="inlineStr">
        <is>
          <t>7.1.1</t>
        </is>
      </c>
      <c r="K19" s="31" t="inlineStr">
        <is>
          <t>Wade/DevB / 11/30</t>
        </is>
      </c>
    </row>
    <row r="20" ht="40" customHeight="1">
      <c r="A20" s="15" t="inlineStr">
        <is>
          <t>F05-05</t>
        </is>
      </c>
      <c r="B20" s="32" t="inlineStr">
        <is>
          <t>模块5·档案检索、智能发现与业务利用</t>
        </is>
      </c>
      <c r="C20" s="32" t="inlineStr">
        <is>
          <t>QA/IT人员日常基础数据查阅</t>
        </is>
      </c>
      <c r="D20" s="32" t="inlineStr">
        <is>
          <t>检索结果展示与预览</t>
        </is>
      </c>
      <c r="E20" s="32" t="inlineStr">
        <is>
          <t>原始文件在线预览</t>
        </is>
      </c>
      <c r="F20" s="32" t="inlineStr">
        <is>
          <t>支持常见文档、图片及办公文件在线预览，无需下载即可查看内容。</t>
        </is>
      </c>
      <c r="G20" s="15" t="inlineStr">
        <is>
          <t>5.11</t>
        </is>
      </c>
      <c r="H20" s="15" t="inlineStr">
        <is>
          <t>同组·前端行</t>
        </is>
      </c>
      <c r="I20" s="15" t="inlineStr">
        <is>
          <t>同组·测试行</t>
        </is>
      </c>
      <c r="J20" s="15" t="inlineStr">
        <is>
          <t>7.1.1</t>
        </is>
      </c>
      <c r="K20" s="32" t="inlineStr">
        <is>
          <t>Wade/DevB / 12/01</t>
        </is>
      </c>
    </row>
    <row r="21" ht="40" customHeight="1">
      <c r="A21" s="30" t="inlineStr">
        <is>
          <t>F06-01</t>
        </is>
      </c>
      <c r="B21" s="31" t="inlineStr">
        <is>
          <t>模块6·合规管控、审计追踪与合规报表</t>
        </is>
      </c>
      <c r="C21" s="31" t="inlineStr">
        <is>
          <t>基础运维核查与简易审计调取</t>
        </is>
      </c>
      <c r="D21" s="31" t="inlineStr">
        <is>
          <t>用户操作审计追踪</t>
        </is>
      </c>
      <c r="E21" s="31" t="inlineStr">
        <is>
          <t>归档操作日志记录</t>
        </is>
      </c>
      <c r="F21" s="31" t="inlineStr">
        <is>
          <t>记录数据导入、上传、归档等操作，包含用户、时间、对象、结果。</t>
        </is>
      </c>
      <c r="G21" s="30" t="inlineStr">
        <is>
          <t>5.7</t>
        </is>
      </c>
      <c r="H21" s="30" t="inlineStr">
        <is>
          <t>同组·前端行</t>
        </is>
      </c>
      <c r="I21" s="30" t="inlineStr">
        <is>
          <t>同组·测试行</t>
        </is>
      </c>
      <c r="J21" s="30" t="inlineStr">
        <is>
          <t>7.1.1</t>
        </is>
      </c>
      <c r="K21" s="31" t="inlineStr">
        <is>
          <t>Wade/DevB / 12/03</t>
        </is>
      </c>
    </row>
    <row r="22" ht="40" customHeight="1">
      <c r="A22" s="15" t="inlineStr">
        <is>
          <t>F06-02</t>
        </is>
      </c>
      <c r="B22" s="32" t="inlineStr">
        <is>
          <t>模块6·合规管控、审计追踪与合规报表</t>
        </is>
      </c>
      <c r="C22" s="32" t="inlineStr">
        <is>
          <t>基础运维核查与简易审计调取</t>
        </is>
      </c>
      <c r="D22" s="32" t="inlineStr">
        <is>
          <t>用户操作审计追踪</t>
        </is>
      </c>
      <c r="E22" s="32" t="inlineStr">
        <is>
          <t>查询操作日志记录</t>
        </is>
      </c>
      <c r="F22" s="32" t="inlineStr">
        <is>
          <t>记录用户的检索、查看、预览行为，支持审计追溯。</t>
        </is>
      </c>
      <c r="G22" s="15" t="inlineStr">
        <is>
          <t>5.12</t>
        </is>
      </c>
      <c r="H22" s="15" t="inlineStr">
        <is>
          <t>同组·前端行</t>
        </is>
      </c>
      <c r="I22" s="15" t="inlineStr">
        <is>
          <t>同组·测试行</t>
        </is>
      </c>
      <c r="J22" s="15" t="inlineStr">
        <is>
          <t>7.1.1</t>
        </is>
      </c>
      <c r="K22" s="32" t="inlineStr">
        <is>
          <t>Wade/DevB / 12/03</t>
        </is>
      </c>
    </row>
    <row r="23" ht="40" customHeight="1">
      <c r="A23" s="30" t="inlineStr">
        <is>
          <t>F06-03</t>
        </is>
      </c>
      <c r="B23" s="31" t="inlineStr">
        <is>
          <t>模块6·合规管控、审计追踪与合规报表</t>
        </is>
      </c>
      <c r="C23" s="31" t="inlineStr">
        <is>
          <t>基础运维核查与简易审计调取</t>
        </is>
      </c>
      <c r="D23" s="31" t="inlineStr">
        <is>
          <t>用户操作审计追踪</t>
        </is>
      </c>
      <c r="E23" s="31" t="inlineStr">
        <is>
          <t>导出操作日志记录</t>
        </is>
      </c>
      <c r="F23" s="31" t="inlineStr">
        <is>
          <t>记录数据导出行为，包含导出范围、导出时间、导出人和下载IP。</t>
        </is>
      </c>
      <c r="G23" s="30" t="inlineStr">
        <is>
          <t>5.13</t>
        </is>
      </c>
      <c r="H23" s="30" t="inlineStr">
        <is>
          <t>同组·前端行</t>
        </is>
      </c>
      <c r="I23" s="30" t="inlineStr">
        <is>
          <t>同组·测试行</t>
        </is>
      </c>
      <c r="J23" s="30" t="inlineStr">
        <is>
          <t>7.1.1</t>
        </is>
      </c>
      <c r="K23" s="31" t="inlineStr">
        <is>
          <t>Wade/DevB / 12/04</t>
        </is>
      </c>
    </row>
    <row r="24" ht="40" customHeight="1">
      <c r="A24" s="15" t="inlineStr">
        <is>
          <t>F08-01</t>
        </is>
      </c>
      <c r="B24" s="32" t="inlineStr">
        <is>
          <t>模块8·系统全局治理、运维与监控</t>
        </is>
      </c>
      <c r="C24" s="32" t="inlineStr">
        <is>
          <t>基础运维核查与简易审计调取</t>
        </is>
      </c>
      <c r="D24" s="32" t="inlineStr">
        <is>
          <t>用户与角色管理</t>
        </is>
      </c>
      <c r="E24" s="32" t="inlineStr">
        <is>
          <t>基础角色权限配置</t>
        </is>
      </c>
      <c r="F24" s="32" t="inlineStr">
        <is>
          <t>配置管理员、查询员、审计员等基础角色，并按角色统一分配菜单权限、数据范围、记录类型和操作权限。</t>
        </is>
      </c>
      <c r="G24" s="15" t="inlineStr">
        <is>
          <t>4.1</t>
        </is>
      </c>
      <c r="H24" s="15" t="inlineStr">
        <is>
          <t>同组·前端行</t>
        </is>
      </c>
      <c r="I24" s="15" t="inlineStr">
        <is>
          <t>同组·测试行</t>
        </is>
      </c>
      <c r="J24" s="15" t="inlineStr">
        <is>
          <t>7.1.1</t>
        </is>
      </c>
      <c r="K24" s="32" t="inlineStr">
        <is>
          <t>Wade/DevB / 10/21</t>
        </is>
      </c>
    </row>
    <row r="25" ht="40" customHeight="1">
      <c r="A25" s="30" t="inlineStr">
        <is>
          <t>F08-02</t>
        </is>
      </c>
      <c r="B25" s="31" t="inlineStr">
        <is>
          <t>模块8·系统全局治理、运维与监控</t>
        </is>
      </c>
      <c r="C25" s="31" t="inlineStr">
        <is>
          <t>基础运维核查与简易审计调取</t>
        </is>
      </c>
      <c r="D25" s="31" t="inlineStr">
        <is>
          <t>用户与角色管理</t>
        </is>
      </c>
      <c r="E25" s="31" t="inlineStr">
        <is>
          <t>用户账号管理</t>
        </is>
      </c>
      <c r="F25" s="31" t="inlineStr">
        <is>
          <t>支持本地账号创建、启用/禁用、密码重置、账号有效期管理。</t>
        </is>
      </c>
      <c r="G25" s="30" t="inlineStr">
        <is>
          <t>4.2</t>
        </is>
      </c>
      <c r="H25" s="30" t="inlineStr">
        <is>
          <t>同组·前端行</t>
        </is>
      </c>
      <c r="I25" s="30" t="inlineStr">
        <is>
          <t>同组·测试行</t>
        </is>
      </c>
      <c r="J25" s="30" t="inlineStr">
        <is>
          <t>7.1.1</t>
        </is>
      </c>
      <c r="K25" s="31" t="inlineStr">
        <is>
          <t>Wade/DevB / 10/22</t>
        </is>
      </c>
    </row>
    <row r="26" ht="40" customHeight="1">
      <c r="A26" s="15" t="inlineStr">
        <is>
          <t>F08-03</t>
        </is>
      </c>
      <c r="B26" s="32" t="inlineStr">
        <is>
          <t>模块8·系统全局治理、运维与监控</t>
        </is>
      </c>
      <c r="C26" s="32" t="inlineStr">
        <is>
          <t>企业用户统一身份认证与系统访问</t>
        </is>
      </c>
      <c r="D26" s="32" t="inlineStr">
        <is>
          <t>SSO 单点登录</t>
        </is>
      </c>
      <c r="E26" s="32" t="inlineStr">
        <is>
          <t>企业SSO集成</t>
        </is>
      </c>
      <c r="F26" s="32" t="inlineStr">
        <is>
          <t>对接企业统一身份认证体系，支持用户通过企业账号完成身份认证并登录RIMS，无需维护独立登录凭证。</t>
        </is>
      </c>
      <c r="G26" s="15" t="inlineStr">
        <is>
          <t>4.3</t>
        </is>
      </c>
      <c r="H26" s="15" t="inlineStr">
        <is>
          <t>同组·前端行</t>
        </is>
      </c>
      <c r="I26" s="15" t="inlineStr">
        <is>
          <t>同组·测试行</t>
        </is>
      </c>
      <c r="J26" s="15" t="inlineStr">
        <is>
          <t>7.1.1</t>
        </is>
      </c>
      <c r="K26" s="32" t="inlineStr">
        <is>
          <t>Wade/DevB / 10/26</t>
        </is>
      </c>
    </row>
    <row r="27" ht="40" customHeight="1">
      <c r="A27" s="30" t="inlineStr">
        <is>
          <t>F08-04</t>
        </is>
      </c>
      <c r="B27" s="31" t="inlineStr">
        <is>
          <t>模块8·系统全局治理、运维与监控</t>
        </is>
      </c>
      <c r="C27" s="31" t="inlineStr">
        <is>
          <t>企业用户统一身份认证与系统访问</t>
        </is>
      </c>
      <c r="D27" s="31" t="inlineStr">
        <is>
          <t>SSO 单点登录</t>
        </is>
      </c>
      <c r="E27" s="31" t="inlineStr">
        <is>
          <t>用户身份自动识别与关联</t>
        </is>
      </c>
      <c r="F27" s="31" t="inlineStr">
        <is>
          <t>根据企业统一身份信息识别用户，并与RIMS中的用户及角色信息建立关联，为后续权限控制提供身份基础。</t>
        </is>
      </c>
      <c r="G27" s="30" t="inlineStr">
        <is>
          <t>4.4</t>
        </is>
      </c>
      <c r="H27" s="30" t="inlineStr">
        <is>
          <t>同组·前端行</t>
        </is>
      </c>
      <c r="I27" s="30" t="inlineStr">
        <is>
          <t>同组·测试行</t>
        </is>
      </c>
      <c r="J27" s="30" t="inlineStr">
        <is>
          <t>7.1.1</t>
        </is>
      </c>
      <c r="K27" s="31" t="inlineStr">
        <is>
          <t>Wade/DevB / 10/27</t>
        </is>
      </c>
    </row>
    <row r="28" ht="40" customHeight="1">
      <c r="A28" s="15" t="inlineStr">
        <is>
          <t>F08-05</t>
        </is>
      </c>
      <c r="B28" s="32" t="inlineStr">
        <is>
          <t>模块8·系统全局治理、运维与监控</t>
        </is>
      </c>
      <c r="C28" s="32" t="inlineStr">
        <is>
          <t>企业用户统一身份认证与系统访问</t>
        </is>
      </c>
      <c r="D28" s="32" t="inlineStr">
        <is>
          <t>SSO 单点登录</t>
        </is>
      </c>
      <c r="E28" s="32" t="inlineStr">
        <is>
          <t>登录状态与异常访问控制</t>
        </is>
      </c>
      <c r="F28" s="32" t="inlineStr">
        <is>
          <t>对用户登录状态及认证异常进行基础控制，认证失效或账号不可用时限制系统访问。</t>
        </is>
      </c>
      <c r="G28" s="15" t="inlineStr">
        <is>
          <t>4.5</t>
        </is>
      </c>
      <c r="H28" s="15" t="inlineStr">
        <is>
          <t>同组·前端行</t>
        </is>
      </c>
      <c r="I28" s="15" t="inlineStr">
        <is>
          <t>同组·测试行</t>
        </is>
      </c>
      <c r="J28" s="15" t="inlineStr">
        <is>
          <t>7.1.1</t>
        </is>
      </c>
      <c r="K28" s="32" t="inlineStr">
        <is>
          <t>Wade/DevB / 10/27</t>
        </is>
      </c>
    </row>
    <row r="29">
      <c r="A29" s="34" t="inlineStr">
        <is>
          <t>覆盖校验：源文件Scope-Phase1共26项功能，逐项对照WBS开发/协作/走查/测试任务，26/26全覆盖 ✓（本页由源文件自动解析生成，功能名与源文件完全一致）</t>
        </is>
      </c>
    </row>
  </sheetData>
  <mergeCells count="2">
    <mergeCell ref="A1:K1"/>
    <mergeCell ref="A29:K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Q39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20" customWidth="1" min="3" max="3"/>
    <col width="24" customWidth="1" min="4" max="4"/>
    <col width="7" customWidth="1" min="5" max="5"/>
    <col width="24" customWidth="1" min="6" max="6"/>
    <col width="7" customWidth="1" min="7" max="7"/>
    <col width="24" customWidth="1" min="8" max="8"/>
    <col width="7" customWidth="1" min="9" max="9"/>
    <col width="22" customWidth="1" min="10" max="10"/>
    <col width="7" customWidth="1" min="11" max="11"/>
    <col width="14" customWidth="1" min="12" max="12"/>
    <col width="7" customWidth="1" min="13" max="13"/>
    <col width="8" customWidth="1" min="14" max="14"/>
    <col width="16" customWidth="1" min="15" max="15"/>
    <col width="12" customWidth="1" min="16" max="16"/>
  </cols>
  <sheetData>
    <row r="1" ht="26" customHeight="1">
      <c r="A1" s="1" t="inlineStr">
        <is>
          <t>功能视角分解（功能×角色矩阵）· V2.1排期口径（直估×AI执行系数）：每个功能由谁做什么 — 与WBS分解V2.1完全对账（合计212.3人天，窗口至2026/12/31）</t>
        </is>
      </c>
    </row>
    <row r="2">
      <c r="A2" s="7" t="inlineStr">
        <is>
          <t>功能编号</t>
        </is>
      </c>
      <c r="B2" s="7" t="inlineStr">
        <is>
          <t>模块</t>
        </is>
      </c>
      <c r="C2" s="7" t="inlineStr">
        <is>
          <t>具体功能（与源文件一致）</t>
        </is>
      </c>
      <c r="D2" s="7" t="inlineStr">
        <is>
          <t>BA·需求（Mandy）</t>
        </is>
      </c>
      <c r="E2" s="7" t="inlineStr">
        <is>
          <t>BA人天</t>
        </is>
      </c>
      <c r="F2" s="7" t="inlineStr">
        <is>
          <t>开发A·Wade</t>
        </is>
      </c>
      <c r="G2" s="7" t="inlineStr">
        <is>
          <t>A人天</t>
        </is>
      </c>
      <c r="H2" s="7" t="inlineStr">
        <is>
          <t>开发B·DevB</t>
        </is>
      </c>
      <c r="I2" s="7" t="inlineStr">
        <is>
          <t>B人天</t>
        </is>
      </c>
      <c r="J2" s="7" t="inlineStr">
        <is>
          <t>测试·验证（Mandy）</t>
        </is>
      </c>
      <c r="K2" s="7" t="inlineStr">
        <is>
          <t>测试人天</t>
        </is>
      </c>
      <c r="L2" s="7" t="inlineStr">
        <is>
          <t>文档（Mandy）</t>
        </is>
      </c>
      <c r="M2" s="7" t="inlineStr">
        <is>
          <t>文档人天</t>
        </is>
      </c>
      <c r="N2" s="7" t="inlineStr">
        <is>
          <t>小计人天</t>
        </is>
      </c>
      <c r="O2" s="7" t="inlineStr">
        <is>
          <t>关联WBS任务</t>
        </is>
      </c>
      <c r="P2" s="7" t="inlineStr">
        <is>
          <t>计划完成</t>
        </is>
      </c>
    </row>
    <row r="3" ht="34" customHeight="1">
      <c r="A3" s="30" t="inlineStr">
        <is>
          <t>F01-01</t>
        </is>
      </c>
      <c r="B3" s="31" t="inlineStr">
        <is>
          <t>模块1·存量迁移</t>
        </is>
      </c>
      <c r="C3" s="31" t="inlineStr">
        <is>
          <t>结构化历史数据批量导入</t>
        </is>
      </c>
      <c r="D3" s="31" t="inlineStr">
        <is>
          <t>迁移范围/映射规则澄清与验收标准</t>
        </is>
      </c>
      <c r="E3" s="49" t="n">
        <v>1.31</v>
      </c>
      <c r="F3" s="31" t="inlineStr">
        <is>
          <t>迁移任务管理界面（调度/进度）</t>
        </is>
      </c>
      <c r="G3" s="49" t="n">
        <v>4.57</v>
      </c>
      <c r="H3" s="31" t="inlineStr">
        <is>
          <t>SeaTunnel分片/限速/断点批量导入</t>
        </is>
      </c>
      <c r="I3" s="49" t="n">
        <v>5.21</v>
      </c>
      <c r="J3" s="31" t="inlineStr">
        <is>
          <t>导入用例+样本表验证</t>
        </is>
      </c>
      <c r="K3" s="49" t="n">
        <v>2.25</v>
      </c>
      <c r="L3" s="31" t="inlineStr">
        <is>
          <t>SLC文档</t>
        </is>
      </c>
      <c r="M3" s="49" t="n">
        <v>0.75</v>
      </c>
      <c r="N3" s="49">
        <f>ROUND(E3+G3+I3+K3+M3,2)</f>
        <v/>
      </c>
      <c r="O3" s="31" t="inlineStr">
        <is>
          <t>4.6</t>
        </is>
      </c>
      <c r="P3" s="30" t="inlineStr">
        <is>
          <t>Wade/DevB / 10/30</t>
        </is>
      </c>
    </row>
    <row r="4" ht="34" customHeight="1">
      <c r="A4" s="30" t="inlineStr">
        <is>
          <t>F01-02</t>
        </is>
      </c>
      <c r="B4" s="31" t="inlineStr">
        <is>
          <t>模块1·存量迁移</t>
        </is>
      </c>
      <c r="C4" s="31" t="inlineStr">
        <is>
          <t>非结构化文件及离线包批量导入</t>
        </is>
      </c>
      <c r="D4" s="31" t="inlineStr">
        <is>
          <t>文件来源与离线介质场景澄清</t>
        </is>
      </c>
      <c r="E4" s="49" t="n">
        <v>0.38</v>
      </c>
      <c r="F4" s="31" t="inlineStr">
        <is>
          <t>迁移任务界面（文件批次）</t>
        </is>
      </c>
      <c r="G4" s="49" t="n">
        <v>2.28</v>
      </c>
      <c r="H4" s="31" t="inlineStr">
        <is>
          <t>多源文件/大文件/属性保留/包解析</t>
        </is>
      </c>
      <c r="I4" s="49" t="n">
        <v>3.59</v>
      </c>
      <c r="J4" s="31" t="inlineStr">
        <is>
          <t>导入与中断恢复用例</t>
        </is>
      </c>
      <c r="K4" s="49" t="n">
        <v>1.65</v>
      </c>
      <c r="L4" s="31" t="inlineStr">
        <is>
          <t>SLC文档</t>
        </is>
      </c>
      <c r="M4" s="49" t="n">
        <v>0.38</v>
      </c>
      <c r="N4" s="49">
        <f>ROUND(E4+G4+I4+K4+M4,2)</f>
        <v/>
      </c>
      <c r="O4" s="31" t="inlineStr">
        <is>
          <t>4.7</t>
        </is>
      </c>
      <c r="P4" s="30" t="inlineStr">
        <is>
          <t>Wade/DevB / 11/03</t>
        </is>
      </c>
    </row>
    <row r="5" ht="34" customHeight="1">
      <c r="A5" s="30" t="inlineStr">
        <is>
          <t>F01-03</t>
        </is>
      </c>
      <c r="B5" s="31" t="inlineStr">
        <is>
          <t>模块1·存量迁移</t>
        </is>
      </c>
      <c r="C5" s="31" t="inlineStr">
        <is>
          <t>数据导入规则配置</t>
        </is>
      </c>
      <c r="D5" s="31" t="inlineStr">
        <is>
          <t>源→标准字段映射规则定义</t>
        </is>
      </c>
      <c r="E5" s="49" t="n">
        <v>0.75</v>
      </c>
      <c r="F5" s="31" t="inlineStr">
        <is>
          <t>规则配置界面</t>
        </is>
      </c>
      <c r="G5" s="49" t="n">
        <v>2.28</v>
      </c>
      <c r="H5" s="31" t="inlineStr">
        <is>
          <t>规则配置服务（映射/转换/校验）</t>
        </is>
      </c>
      <c r="I5" s="49" t="n">
        <v>2.61</v>
      </c>
      <c r="J5" s="31" t="inlineStr">
        <is>
          <t>规则执行用例</t>
        </is>
      </c>
      <c r="K5" s="49" t="n">
        <v>1.35</v>
      </c>
      <c r="L5" s="31" t="inlineStr">
        <is>
          <t>SLC文档</t>
        </is>
      </c>
      <c r="M5" s="49" t="n">
        <v>0.38</v>
      </c>
      <c r="N5" s="49">
        <f>ROUND(E5+G5+I5+K5+M5,2)</f>
        <v/>
      </c>
      <c r="O5" s="31" t="inlineStr">
        <is>
          <t>4.8</t>
        </is>
      </c>
      <c r="P5" s="30" t="inlineStr">
        <is>
          <t>Wade/DevB / 11/05</t>
        </is>
      </c>
    </row>
    <row r="6" ht="34" customHeight="1">
      <c r="A6" s="30" t="inlineStr">
        <is>
          <t>F01-04</t>
        </is>
      </c>
      <c r="B6" s="31" t="inlineStr">
        <is>
          <t>模块1·存量迁移</t>
        </is>
      </c>
      <c r="C6" s="31" t="inlineStr">
        <is>
          <t>迁移前完整性基准记录</t>
        </is>
      </c>
      <c r="D6" s="31" t="inlineStr">
        <is>
          <t>完整性基准口径定义</t>
        </is>
      </c>
      <c r="E6" s="49" t="n">
        <v>0.38</v>
      </c>
      <c r="F6" s="31" t="inlineStr">
        <is>
          <t>校验结果展示</t>
        </is>
      </c>
      <c r="G6" s="49" t="n">
        <v>0.33</v>
      </c>
      <c r="H6" s="31" t="inlineStr">
        <is>
          <t>迁移前基准记录（行数/校验和）</t>
        </is>
      </c>
      <c r="I6" s="49" t="n">
        <v>1.79</v>
      </c>
      <c r="J6" s="31" t="inlineStr">
        <is>
          <t>基准记录用例</t>
        </is>
      </c>
      <c r="K6" s="49" t="n">
        <v>0.6</v>
      </c>
      <c r="L6" s="31" t="inlineStr">
        <is>
          <t>SLC文档</t>
        </is>
      </c>
      <c r="M6" s="49" t="n">
        <v>0.38</v>
      </c>
      <c r="N6" s="49">
        <f>ROUND(E6+G6+I6+K6+M6,2)</f>
        <v/>
      </c>
      <c r="O6" s="31" t="inlineStr">
        <is>
          <t>4.9</t>
        </is>
      </c>
      <c r="P6" s="30" t="inlineStr">
        <is>
          <t>Wade/DevB / 11/06</t>
        </is>
      </c>
    </row>
    <row r="7" ht="34" customHeight="1">
      <c r="A7" s="30" t="inlineStr">
        <is>
          <t>F01-05</t>
        </is>
      </c>
      <c r="B7" s="31" t="inlineStr">
        <is>
          <t>模块1·存量迁移</t>
        </is>
      </c>
      <c r="C7" s="31" t="inlineStr">
        <is>
          <t>迁移后完整性比对</t>
        </is>
      </c>
      <c r="D7" s="31" t="inlineStr">
        <is>
          <t>比对差异处理口径</t>
        </is>
      </c>
      <c r="E7" s="49" t="n">
        <v>0.19</v>
      </c>
      <c r="F7" s="31" t="inlineStr">
        <is>
          <t>比对结果展示</t>
        </is>
      </c>
      <c r="G7" s="49" t="n">
        <v>0.65</v>
      </c>
      <c r="H7" s="31" t="inlineStr">
        <is>
          <t>迁移后比对（SHA-256/差异报告）</t>
        </is>
      </c>
      <c r="I7" s="49" t="n">
        <v>1.63</v>
      </c>
      <c r="J7" s="31" t="inlineStr">
        <is>
          <t>比对用例（CC对账预演）</t>
        </is>
      </c>
      <c r="K7" s="49" t="n">
        <v>0.75</v>
      </c>
      <c r="L7" s="31" t="inlineStr">
        <is>
          <t>SLC文档</t>
        </is>
      </c>
      <c r="M7" s="49" t="n">
        <v>0.38</v>
      </c>
      <c r="N7" s="49">
        <f>ROUND(E7+G7+I7+K7+M7,2)</f>
        <v/>
      </c>
      <c r="O7" s="31" t="inlineStr">
        <is>
          <t>4.10</t>
        </is>
      </c>
      <c r="P7" s="30" t="inlineStr">
        <is>
          <t>Wade/DevB / 11/09</t>
        </is>
      </c>
    </row>
    <row r="8" ht="34" customHeight="1">
      <c r="A8" s="50" t="inlineStr">
        <is>
          <t>F02-01</t>
        </is>
      </c>
      <c r="B8" s="51" t="inlineStr">
        <is>
          <t>模块2·元数据</t>
        </is>
      </c>
      <c r="C8" s="51" t="inlineStr">
        <is>
          <t>统一元数据模型</t>
        </is>
      </c>
      <c r="D8" s="51" t="inlineStr">
        <is>
          <t>元数据字段体系与必填规则</t>
        </is>
      </c>
      <c r="E8" s="52" t="n">
        <v>1.31</v>
      </c>
      <c r="F8" s="51" t="inlineStr">
        <is>
          <t>—</t>
        </is>
      </c>
      <c r="G8" s="52" t="n">
        <v>2.6</v>
      </c>
      <c r="H8" s="51" t="inlineStr">
        <is>
          <t>统一元数据模型API</t>
        </is>
      </c>
      <c r="I8" s="52" t="n">
        <v>0.66</v>
      </c>
      <c r="J8" s="51" t="inlineStr">
        <is>
          <t>模块2走查</t>
        </is>
      </c>
      <c r="K8" s="52" t="n">
        <v>0.75</v>
      </c>
      <c r="L8" s="51" t="inlineStr">
        <is>
          <t>SLC文档</t>
        </is>
      </c>
      <c r="M8" s="52" t="n">
        <v>0.38</v>
      </c>
      <c r="N8" s="52">
        <f>ROUND(E8+G8+I8+K8+M8,2)</f>
        <v/>
      </c>
      <c r="O8" s="51" t="inlineStr">
        <is>
          <t>4.11</t>
        </is>
      </c>
      <c r="P8" s="50" t="inlineStr">
        <is>
          <t>Wade/DevB / 11/10</t>
        </is>
      </c>
    </row>
    <row r="9" ht="34" customHeight="1">
      <c r="A9" s="50" t="inlineStr">
        <is>
          <t>F02-02</t>
        </is>
      </c>
      <c r="B9" s="51" t="inlineStr">
        <is>
          <t>模块2·元数据</t>
        </is>
      </c>
      <c r="C9" s="51" t="inlineStr">
        <is>
          <t>来源系统信息绑定</t>
        </is>
      </c>
      <c r="D9" s="51" t="inlineStr">
        <is>
          <t>来源系统编码与绑定规则</t>
        </is>
      </c>
      <c r="E9" s="52" t="n">
        <v>0.38</v>
      </c>
      <c r="F9" s="51" t="inlineStr">
        <is>
          <t>元数据管理界面（协作）</t>
        </is>
      </c>
      <c r="G9" s="52" t="n">
        <v>1.3</v>
      </c>
      <c r="H9" s="51" t="inlineStr">
        <is>
          <t>来源系统信息绑定API</t>
        </is>
      </c>
      <c r="I9" s="52" t="n">
        <v>0.82</v>
      </c>
      <c r="J9" s="51" t="inlineStr">
        <is>
          <t>模块2走查</t>
        </is>
      </c>
      <c r="K9" s="52" t="n">
        <v>0.75</v>
      </c>
      <c r="L9" s="51" t="inlineStr">
        <is>
          <t>SLC文档</t>
        </is>
      </c>
      <c r="M9" s="52" t="n">
        <v>0.38</v>
      </c>
      <c r="N9" s="52">
        <f>ROUND(E9+G9+I9+K9+M9,2)</f>
        <v/>
      </c>
      <c r="O9" s="51" t="inlineStr">
        <is>
          <t>4.12</t>
        </is>
      </c>
      <c r="P9" s="50" t="inlineStr">
        <is>
          <t>Wade/DevB / 11/11</t>
        </is>
      </c>
    </row>
    <row r="10" ht="34" customHeight="1">
      <c r="A10" s="23" t="inlineStr">
        <is>
          <t>F03-01</t>
        </is>
      </c>
      <c r="B10" s="33" t="inlineStr">
        <is>
          <t>模块3·生命周期处置</t>
        </is>
      </c>
      <c r="C10" s="33" t="inlineStr">
        <is>
          <t>保留期限到期自动删除</t>
        </is>
      </c>
      <c r="D10" s="33" t="inlineStr">
        <is>
          <t>保留期矩阵与到期处置策略</t>
        </is>
      </c>
      <c r="E10" s="48" t="n">
        <v>0.75</v>
      </c>
      <c r="F10" s="33" t="inlineStr">
        <is>
          <t>保留策略配置界面</t>
        </is>
      </c>
      <c r="G10" s="48" t="n">
        <v>1.63</v>
      </c>
      <c r="H10" s="33" t="inlineStr">
        <is>
          <t>处置引擎（扫描→DROP PARTITION→VACUUM）</t>
        </is>
      </c>
      <c r="I10" s="48" t="n">
        <v>2.61</v>
      </c>
      <c r="J10" s="33" t="inlineStr">
        <is>
          <t>到期删除走查</t>
        </is>
      </c>
      <c r="K10" s="48" t="n">
        <v>1.2</v>
      </c>
      <c r="L10" s="33" t="inlineStr">
        <is>
          <t>SLC文档</t>
        </is>
      </c>
      <c r="M10" s="48" t="n">
        <v>0.38</v>
      </c>
      <c r="N10" s="48">
        <f>ROUND(E10+G10+I10+K10+M10,2)</f>
        <v/>
      </c>
      <c r="O10" s="33" t="inlineStr">
        <is>
          <t>5.1</t>
        </is>
      </c>
      <c r="P10" s="23" t="inlineStr">
        <is>
          <t>Wade/DevB / 11/18</t>
        </is>
      </c>
    </row>
    <row r="11" ht="34" customHeight="1">
      <c r="A11" s="23" t="inlineStr">
        <is>
          <t>F03-02</t>
        </is>
      </c>
      <c r="B11" s="33" t="inlineStr">
        <is>
          <t>模块3·生命周期处置</t>
        </is>
      </c>
      <c r="C11" s="33" t="inlineStr">
        <is>
          <t>Legal Hold 冻结</t>
        </is>
      </c>
      <c r="D11" s="33" t="inlineStr">
        <is>
          <t>Legal Hold审批流程定义</t>
        </is>
      </c>
      <c r="E11" s="48" t="n">
        <v>0.5600000000000001</v>
      </c>
      <c r="F11" s="33" t="inlineStr">
        <is>
          <t>Legal Hold冻结/解除界面</t>
        </is>
      </c>
      <c r="G11" s="48" t="n">
        <v>1.96</v>
      </c>
      <c r="H11" s="33" t="inlineStr">
        <is>
          <t>Hold/Release+豁免+留痕</t>
        </is>
      </c>
      <c r="I11" s="48" t="n">
        <v>0.32</v>
      </c>
      <c r="J11" s="33" t="inlineStr">
        <is>
          <t>冻结/解除走查</t>
        </is>
      </c>
      <c r="K11" s="48" t="n">
        <v>0.9</v>
      </c>
      <c r="L11" s="33" t="inlineStr">
        <is>
          <t>SLC文档</t>
        </is>
      </c>
      <c r="M11" s="48" t="n">
        <v>0.38</v>
      </c>
      <c r="N11" s="48">
        <f>ROUND(E11+G11+I11+K11+M11,2)</f>
        <v/>
      </c>
      <c r="O11" s="33" t="inlineStr">
        <is>
          <t>5.2</t>
        </is>
      </c>
      <c r="P11" s="23" t="inlineStr">
        <is>
          <t>Wade/DevB / 11/20</t>
        </is>
      </c>
    </row>
    <row r="12" ht="34" customHeight="1">
      <c r="A12" s="53" t="inlineStr">
        <is>
          <t>F04-01</t>
        </is>
      </c>
      <c r="B12" s="54" t="inlineStr">
        <is>
          <t>模块4·存储安全</t>
        </is>
      </c>
      <c r="C12" s="54" t="inlineStr">
        <is>
          <t>数据加密存储</t>
        </is>
      </c>
      <c r="D12" s="54" t="inlineStr">
        <is>
          <t>密级与加密合规要求</t>
        </is>
      </c>
      <c r="E12" s="55" t="n">
        <v>0.38</v>
      </c>
      <c r="F12" s="54" t="inlineStr">
        <is>
          <t>—</t>
        </is>
      </c>
      <c r="G12" s="55" t="n">
        <v>0.98</v>
      </c>
      <c r="H12" s="54" t="inlineStr">
        <is>
          <t>ADLS原生SSE/CMK配置+PII字段级加密</t>
        </is>
      </c>
      <c r="I12" s="55" t="n">
        <v>0.82</v>
      </c>
      <c r="J12" s="54" t="inlineStr">
        <is>
          <t>加密落盘验证</t>
        </is>
      </c>
      <c r="K12" s="55" t="n">
        <v>0.9</v>
      </c>
      <c r="L12" s="54" t="inlineStr">
        <is>
          <t>SLC文档</t>
        </is>
      </c>
      <c r="M12" s="55" t="n">
        <v>0.38</v>
      </c>
      <c r="N12" s="55">
        <f>ROUND(E12+G12+I12+K12+M12,2)</f>
        <v/>
      </c>
      <c r="O12" s="54" t="inlineStr">
        <is>
          <t>5.3</t>
        </is>
      </c>
      <c r="P12" s="53" t="inlineStr">
        <is>
          <t>Wade/DevB / 11/23</t>
        </is>
      </c>
    </row>
    <row r="13" ht="34" customHeight="1">
      <c r="A13" s="53" t="inlineStr">
        <is>
          <t>F04-02</t>
        </is>
      </c>
      <c r="B13" s="54" t="inlineStr">
        <is>
          <t>模块4·存储安全</t>
        </is>
      </c>
      <c r="C13" s="54" t="inlineStr">
        <is>
          <t>密钥管理</t>
        </is>
      </c>
      <c r="D13" s="54" t="inlineStr">
        <is>
          <t>密钥保管与审计要求</t>
        </is>
      </c>
      <c r="E13" s="55" t="n">
        <v>0.19</v>
      </c>
      <c r="F13" s="54" t="inlineStr">
        <is>
          <t>—</t>
        </is>
      </c>
      <c r="G13" s="55" t="n">
        <v>0.32</v>
      </c>
      <c r="H13" s="54" t="inlineStr">
        <is>
          <t>Key Vault原生(RBAC)+应用Managed Identity集成</t>
        </is>
      </c>
      <c r="I13" s="55" t="n">
        <v>0.49</v>
      </c>
      <c r="J13" s="54" t="inlineStr">
        <is>
          <t>密钥轮换用例</t>
        </is>
      </c>
      <c r="K13" s="55" t="n">
        <v>0.75</v>
      </c>
      <c r="L13" s="54" t="inlineStr">
        <is>
          <t>SLC文档</t>
        </is>
      </c>
      <c r="M13" s="55" t="n">
        <v>0.38</v>
      </c>
      <c r="N13" s="55">
        <f>ROUND(E13+G13+I13+K13+M13,2)</f>
        <v/>
      </c>
      <c r="O13" s="54" t="inlineStr">
        <is>
          <t>5.4</t>
        </is>
      </c>
      <c r="P13" s="53" t="inlineStr">
        <is>
          <t>Wade/DevB / 11/24</t>
        </is>
      </c>
    </row>
    <row r="14" ht="34" customHeight="1">
      <c r="A14" s="53" t="inlineStr">
        <is>
          <t>F04-03</t>
        </is>
      </c>
      <c r="B14" s="54" t="inlineStr">
        <is>
          <t>模块4·存储安全</t>
        </is>
      </c>
      <c r="C14" s="54" t="inlineStr">
        <is>
          <t>数据备份管理</t>
        </is>
      </c>
      <c r="D14" s="54" t="inlineStr">
        <is>
          <t>备份策略要求（RPO）</t>
        </is>
      </c>
      <c r="E14" s="55" t="n">
        <v>0.38</v>
      </c>
      <c r="F14" s="54" t="inlineStr">
        <is>
          <t>—</t>
        </is>
      </c>
      <c r="G14" s="55" t="n">
        <v>0.65</v>
      </c>
      <c r="H14" s="54" t="inlineStr">
        <is>
          <t>SQL PITR/ADLS原生备份策略配置</t>
        </is>
      </c>
      <c r="I14" s="55" t="n">
        <v>0.82</v>
      </c>
      <c r="J14" s="54" t="inlineStr">
        <is>
          <t>备份恢复用例</t>
        </is>
      </c>
      <c r="K14" s="55" t="n">
        <v>0.75</v>
      </c>
      <c r="L14" s="54" t="inlineStr">
        <is>
          <t>SLC文档</t>
        </is>
      </c>
      <c r="M14" s="55" t="n">
        <v>0.38</v>
      </c>
      <c r="N14" s="55">
        <f>ROUND(E14+G14+I14+K14+M14,2)</f>
        <v/>
      </c>
      <c r="O14" s="54" t="inlineStr">
        <is>
          <t>5.5</t>
        </is>
      </c>
      <c r="P14" s="53" t="inlineStr">
        <is>
          <t>Wade/DevB / 11/25</t>
        </is>
      </c>
    </row>
    <row r="15" ht="34" customHeight="1">
      <c r="A15" s="53" t="inlineStr">
        <is>
          <t>F04-04</t>
        </is>
      </c>
      <c r="B15" s="54" t="inlineStr">
        <is>
          <t>模块4·存储安全</t>
        </is>
      </c>
      <c r="C15" s="54" t="inlineStr">
        <is>
          <t>异地灾备</t>
        </is>
      </c>
      <c r="D15" s="54" t="inlineStr">
        <is>
          <t>灾备要求（RTO）</t>
        </is>
      </c>
      <c r="E15" s="55" t="n"/>
      <c r="F15" s="54" t="inlineStr">
        <is>
          <t>—</t>
        </is>
      </c>
      <c r="G15" s="55" t="n"/>
      <c r="H15" s="54" t="inlineStr">
        <is>
          <t>Azure Blob原生冗余(GRS)配置+恢复演练</t>
        </is>
      </c>
      <c r="I15" s="55" t="n"/>
      <c r="J15" s="54" t="inlineStr">
        <is>
          <t>灾备切换用例</t>
        </is>
      </c>
      <c r="K15" s="55" t="n"/>
      <c r="L15" s="54" t="inlineStr">
        <is>
          <t>SLC文档</t>
        </is>
      </c>
      <c r="M15" s="55" t="n"/>
      <c r="N15" s="55">
        <f>ROUND(E15+G15+I15+K15+M15,2)</f>
        <v/>
      </c>
      <c r="O15" s="54" t="inlineStr">
        <is>
          <t>—（Azure原生GRS，配置在3.2.7方案）</t>
        </is>
      </c>
      <c r="P15" s="53" t="inlineStr">
        <is>
          <t>DevB / 11/09</t>
        </is>
      </c>
    </row>
    <row r="16" ht="34" customHeight="1">
      <c r="A16" s="56" t="inlineStr">
        <is>
          <t>F05-01</t>
        </is>
      </c>
      <c r="B16" s="57" t="inlineStr">
        <is>
          <t>模块5·检索利用</t>
        </is>
      </c>
      <c r="C16" s="57" t="inlineStr">
        <is>
          <t>关键词检索</t>
        </is>
      </c>
      <c r="D16" s="57" t="inlineStr">
        <is>
          <t>检索需求与查询配置模型</t>
        </is>
      </c>
      <c r="E16" s="58" t="n">
        <v>0.38</v>
      </c>
      <c r="F16" s="57" t="inlineStr">
        <is>
          <t>检索页动态表单+关键词检索</t>
        </is>
      </c>
      <c r="G16" s="58" t="n">
        <v>1.63</v>
      </c>
      <c r="H16" s="57" t="inlineStr">
        <is>
          <t>—</t>
        </is>
      </c>
      <c r="I16" s="58" t="n">
        <v>1.62</v>
      </c>
      <c r="J16" s="57" t="inlineStr">
        <is>
          <t>检索用例</t>
        </is>
      </c>
      <c r="K16" s="58" t="n">
        <v>0.9</v>
      </c>
      <c r="L16" s="57" t="inlineStr">
        <is>
          <t>SLC文档</t>
        </is>
      </c>
      <c r="M16" s="58" t="n">
        <v>0.38</v>
      </c>
      <c r="N16" s="58">
        <f>ROUND(E16+G16+I16+K16+M16,2)</f>
        <v/>
      </c>
      <c r="O16" s="57" t="inlineStr">
        <is>
          <t>5.6</t>
        </is>
      </c>
      <c r="P16" s="56" t="inlineStr">
        <is>
          <t>Wade/DevB / 11/26</t>
        </is>
      </c>
    </row>
    <row r="17" ht="34" customHeight="1">
      <c r="A17" s="56" t="inlineStr">
        <is>
          <t>F05-02</t>
        </is>
      </c>
      <c r="B17" s="57" t="inlineStr">
        <is>
          <t>模块5·检索利用</t>
        </is>
      </c>
      <c r="C17" s="57" t="inlineStr">
        <is>
          <t>按系统名称检索</t>
        </is>
      </c>
      <c r="D17" s="57" t="inlineStr">
        <is>
          <t>来源系统筛选需求</t>
        </is>
      </c>
      <c r="E17" s="58" t="n"/>
      <c r="F17" s="57" t="inlineStr">
        <is>
          <t>按系统名称检索</t>
        </is>
      </c>
      <c r="G17" s="58" t="n">
        <v>0.82</v>
      </c>
      <c r="H17" s="57" t="inlineStr">
        <is>
          <t>—</t>
        </is>
      </c>
      <c r="I17" s="58" t="n"/>
      <c r="J17" s="57" t="inlineStr">
        <is>
          <t>筛选用例</t>
        </is>
      </c>
      <c r="K17" s="58" t="n">
        <v>0.3</v>
      </c>
      <c r="L17" s="57" t="inlineStr">
        <is>
          <t>SLC文档</t>
        </is>
      </c>
      <c r="M17" s="58" t="n">
        <v>0.19</v>
      </c>
      <c r="N17" s="58">
        <f>ROUND(E17+G17+I17+K17+M17,2)</f>
        <v/>
      </c>
      <c r="O17" s="57" t="inlineStr">
        <is>
          <t>5.8</t>
        </is>
      </c>
      <c r="P17" s="56" t="inlineStr">
        <is>
          <t>Wade/DevB / 11/27</t>
        </is>
      </c>
    </row>
    <row r="18" ht="34" customHeight="1">
      <c r="A18" s="56" t="inlineStr">
        <is>
          <t>F05-03</t>
        </is>
      </c>
      <c r="B18" s="57" t="inlineStr">
        <is>
          <t>模块5·检索利用</t>
        </is>
      </c>
      <c r="C18" s="57" t="inlineStr">
        <is>
          <t>按业务时间检索</t>
        </is>
      </c>
      <c r="D18" s="57" t="inlineStr">
        <is>
          <t>时间维度检索需求</t>
        </is>
      </c>
      <c r="E18" s="58" t="n"/>
      <c r="F18" s="57" t="inlineStr">
        <is>
          <t>按业务时间检索</t>
        </is>
      </c>
      <c r="G18" s="58" t="n">
        <v>0.82</v>
      </c>
      <c r="H18" s="57" t="inlineStr">
        <is>
          <t>—</t>
        </is>
      </c>
      <c r="I18" s="58" t="n"/>
      <c r="J18" s="57" t="inlineStr">
        <is>
          <t>时间范围用例</t>
        </is>
      </c>
      <c r="K18" s="58" t="n">
        <v>0.3</v>
      </c>
      <c r="L18" s="57" t="inlineStr">
        <is>
          <t>SLC文档</t>
        </is>
      </c>
      <c r="M18" s="58" t="n">
        <v>0.19</v>
      </c>
      <c r="N18" s="58">
        <f>ROUND(E18+G18+I18+K18+M18,2)</f>
        <v/>
      </c>
      <c r="O18" s="57" t="inlineStr">
        <is>
          <t>5.9</t>
        </is>
      </c>
      <c r="P18" s="56" t="inlineStr">
        <is>
          <t>Wade/DevB / 11/30</t>
        </is>
      </c>
    </row>
    <row r="19" ht="34" customHeight="1">
      <c r="A19" s="56" t="inlineStr">
        <is>
          <t>F05-04</t>
        </is>
      </c>
      <c r="B19" s="57" t="inlineStr">
        <is>
          <t>模块5·检索利用</t>
        </is>
      </c>
      <c r="C19" s="57" t="inlineStr">
        <is>
          <t>检索结果列表展示</t>
        </is>
      </c>
      <c r="D19" s="57" t="inlineStr">
        <is>
          <t>列表字段/排序/导出需求</t>
        </is>
      </c>
      <c r="E19" s="58" t="n"/>
      <c r="F19" s="57" t="inlineStr">
        <is>
          <t>结果列表（分页/排序）+流式导出</t>
        </is>
      </c>
      <c r="G19" s="58" t="n">
        <v>1.46</v>
      </c>
      <c r="H19" s="57" t="inlineStr">
        <is>
          <t>—</t>
        </is>
      </c>
      <c r="I19" s="58" t="n">
        <v>0.49</v>
      </c>
      <c r="J19" s="57" t="inlineStr">
        <is>
          <t>大批量用例</t>
        </is>
      </c>
      <c r="K19" s="58" t="n">
        <v>0.6</v>
      </c>
      <c r="L19" s="57" t="inlineStr">
        <is>
          <t>SLC文档</t>
        </is>
      </c>
      <c r="M19" s="58" t="n">
        <v>0.38</v>
      </c>
      <c r="N19" s="58">
        <f>ROUND(E19+G19+I19+K19+M19,2)</f>
        <v/>
      </c>
      <c r="O19" s="57" t="inlineStr">
        <is>
          <t>5.10</t>
        </is>
      </c>
      <c r="P19" s="56" t="inlineStr">
        <is>
          <t>Wade/DevB / 11/30</t>
        </is>
      </c>
    </row>
    <row r="20" ht="34" customHeight="1">
      <c r="A20" s="56" t="inlineStr">
        <is>
          <t>F05-05</t>
        </is>
      </c>
      <c r="B20" s="57" t="inlineStr">
        <is>
          <t>模块5·检索利用</t>
        </is>
      </c>
      <c r="C20" s="57" t="inlineStr">
        <is>
          <t>原始文件在线预览</t>
        </is>
      </c>
      <c r="D20" s="57" t="inlineStr">
        <is>
          <t>预览格式与权限要求</t>
        </is>
      </c>
      <c r="E20" s="58" t="n"/>
      <c r="F20" s="57" t="inlineStr">
        <is>
          <t>在线预览（SAS直连）+大文件优化</t>
        </is>
      </c>
      <c r="G20" s="58" t="n">
        <v>1.31</v>
      </c>
      <c r="H20" s="57" t="inlineStr">
        <is>
          <t>—</t>
        </is>
      </c>
      <c r="I20" s="58" t="n">
        <v>1.95</v>
      </c>
      <c r="J20" s="57" t="inlineStr">
        <is>
          <t>预览用例</t>
        </is>
      </c>
      <c r="K20" s="58" t="n">
        <v>0.75</v>
      </c>
      <c r="L20" s="57" t="inlineStr">
        <is>
          <t>SLC文档</t>
        </is>
      </c>
      <c r="M20" s="58" t="n">
        <v>0.38</v>
      </c>
      <c r="N20" s="58">
        <f>ROUND(E20+G20+I20+K20+M20,2)</f>
        <v/>
      </c>
      <c r="O20" s="57" t="inlineStr">
        <is>
          <t>5.11</t>
        </is>
      </c>
      <c r="P20" s="56" t="inlineStr">
        <is>
          <t>Wade/DevB / 12/01</t>
        </is>
      </c>
    </row>
    <row r="21" ht="34" customHeight="1">
      <c r="A21" s="59" t="inlineStr">
        <is>
          <t>F06-01</t>
        </is>
      </c>
      <c r="B21" s="60" t="inlineStr">
        <is>
          <t>模块6·审计合规</t>
        </is>
      </c>
      <c r="C21" s="60" t="inlineStr">
        <is>
          <t>归档操作日志记录</t>
        </is>
      </c>
      <c r="D21" s="60" t="inlineStr">
        <is>
          <t>审计合规要求（归档日志）</t>
        </is>
      </c>
      <c r="E21" s="61" t="n">
        <v>0.19</v>
      </c>
      <c r="F21" s="60" t="inlineStr">
        <is>
          <t>归档操作日志+审计查询界面</t>
        </is>
      </c>
      <c r="G21" s="61" t="n">
        <v>1.63</v>
      </c>
      <c r="H21" s="60" t="inlineStr">
        <is>
          <t>—</t>
        </is>
      </c>
      <c r="I21" s="61" t="n">
        <v>0.49</v>
      </c>
      <c r="J21" s="60" t="inlineStr">
        <is>
          <t>审计走查</t>
        </is>
      </c>
      <c r="K21" s="61" t="n">
        <v>0.75</v>
      </c>
      <c r="L21" s="60" t="inlineStr">
        <is>
          <t>SLC文档</t>
        </is>
      </c>
      <c r="M21" s="61" t="n">
        <v>0.38</v>
      </c>
      <c r="N21" s="61">
        <f>ROUND(E21+G21+I21+K21+M21,2)</f>
        <v/>
      </c>
      <c r="O21" s="60" t="inlineStr">
        <is>
          <t>5.7</t>
        </is>
      </c>
      <c r="P21" s="59" t="inlineStr">
        <is>
          <t>Wade/DevB / 12/03</t>
        </is>
      </c>
    </row>
    <row r="22" ht="34" customHeight="1">
      <c r="A22" s="59" t="inlineStr">
        <is>
          <t>F06-02</t>
        </is>
      </c>
      <c r="B22" s="60" t="inlineStr">
        <is>
          <t>模块6·审计合规</t>
        </is>
      </c>
      <c r="C22" s="60" t="inlineStr">
        <is>
          <t>查询操作日志记录</t>
        </is>
      </c>
      <c r="D22" s="60" t="inlineStr">
        <is>
          <t>查询行为审计要求</t>
        </is>
      </c>
      <c r="E22" s="61" t="n"/>
      <c r="F22" s="60" t="inlineStr">
        <is>
          <t>查询操作日志记录</t>
        </is>
      </c>
      <c r="G22" s="61" t="n">
        <v>0.49</v>
      </c>
      <c r="H22" s="60" t="inlineStr">
        <is>
          <t>—</t>
        </is>
      </c>
      <c r="I22" s="61" t="n">
        <v>0.33</v>
      </c>
      <c r="J22" s="60" t="inlineStr">
        <is>
          <t>审计走查</t>
        </is>
      </c>
      <c r="K22" s="61" t="n">
        <v>0.45</v>
      </c>
      <c r="L22" s="60" t="inlineStr">
        <is>
          <t>SLC文档</t>
        </is>
      </c>
      <c r="M22" s="61" t="n">
        <v>0.19</v>
      </c>
      <c r="N22" s="61">
        <f>ROUND(E22+G22+I22+K22+M22,2)</f>
        <v/>
      </c>
      <c r="O22" s="60" t="inlineStr">
        <is>
          <t>5.12</t>
        </is>
      </c>
      <c r="P22" s="59" t="inlineStr">
        <is>
          <t>Wade/DevB / 12/03</t>
        </is>
      </c>
    </row>
    <row r="23" ht="34" customHeight="1">
      <c r="A23" s="59" t="inlineStr">
        <is>
          <t>F06-03</t>
        </is>
      </c>
      <c r="B23" s="60" t="inlineStr">
        <is>
          <t>模块6·审计合规</t>
        </is>
      </c>
      <c r="C23" s="60" t="inlineStr">
        <is>
          <t>导出操作日志记录</t>
        </is>
      </c>
      <c r="D23" s="60" t="inlineStr">
        <is>
          <t>导出审计要求（范围/IP）</t>
        </is>
      </c>
      <c r="E23" s="61" t="n"/>
      <c r="F23" s="60" t="inlineStr">
        <is>
          <t>导出操作日志记录</t>
        </is>
      </c>
      <c r="G23" s="61" t="n">
        <v>0.82</v>
      </c>
      <c r="H23" s="60" t="inlineStr">
        <is>
          <t>—</t>
        </is>
      </c>
      <c r="I23" s="61" t="n">
        <v>0.16</v>
      </c>
      <c r="J23" s="60" t="inlineStr">
        <is>
          <t>审计走查</t>
        </is>
      </c>
      <c r="K23" s="61" t="n">
        <v>0.45</v>
      </c>
      <c r="L23" s="60" t="inlineStr">
        <is>
          <t>SLC文档</t>
        </is>
      </c>
      <c r="M23" s="61" t="n">
        <v>0.19</v>
      </c>
      <c r="N23" s="61">
        <f>ROUND(E23+G23+I23+K23+M23,2)</f>
        <v/>
      </c>
      <c r="O23" s="60" t="inlineStr">
        <is>
          <t>5.13</t>
        </is>
      </c>
      <c r="P23" s="59" t="inlineStr">
        <is>
          <t>Wade/DevB / 12/04</t>
        </is>
      </c>
    </row>
    <row r="24" ht="34" customHeight="1">
      <c r="A24" s="62" t="inlineStr">
        <is>
          <t>F08-01</t>
        </is>
      </c>
      <c r="B24" s="63" t="inlineStr">
        <is>
          <t>模块8·全局治理</t>
        </is>
      </c>
      <c r="C24" s="63" t="inlineStr">
        <is>
          <t>基础角色权限配置</t>
        </is>
      </c>
      <c r="D24" s="63" t="inlineStr">
        <is>
          <t>角色权限矩阵（RBAC）定义</t>
        </is>
      </c>
      <c r="E24" s="64" t="n">
        <v>0.75</v>
      </c>
      <c r="F24" s="63" t="inlineStr">
        <is>
          <t>角色权限配置（界面+API）</t>
        </is>
      </c>
      <c r="G24" s="64" t="n">
        <v>1.63</v>
      </c>
      <c r="H24" s="63" t="inlineStr">
        <is>
          <t>—</t>
        </is>
      </c>
      <c r="I24" s="64" t="n">
        <v>0.66</v>
      </c>
      <c r="J24" s="63" t="inlineStr">
        <is>
          <t>越权用例</t>
        </is>
      </c>
      <c r="K24" s="64" t="n">
        <v>0.9</v>
      </c>
      <c r="L24" s="63" t="inlineStr">
        <is>
          <t>SLC文档</t>
        </is>
      </c>
      <c r="M24" s="64" t="n">
        <v>0.75</v>
      </c>
      <c r="N24" s="64">
        <f>ROUND(E24+G24+I24+K24+M24,2)</f>
        <v/>
      </c>
      <c r="O24" s="63" t="inlineStr">
        <is>
          <t>4.1</t>
        </is>
      </c>
      <c r="P24" s="62" t="inlineStr">
        <is>
          <t>Wade/DevB / 10/21</t>
        </is>
      </c>
    </row>
    <row r="25" ht="34" customHeight="1">
      <c r="A25" s="62" t="inlineStr">
        <is>
          <t>F08-02</t>
        </is>
      </c>
      <c r="B25" s="63" t="inlineStr">
        <is>
          <t>模块8·全局治理</t>
        </is>
      </c>
      <c r="C25" s="63" t="inlineStr">
        <is>
          <t>用户账号管理</t>
        </is>
      </c>
      <c r="D25" s="63" t="inlineStr">
        <is>
          <t>账号生命周期策略</t>
        </is>
      </c>
      <c r="E25" s="64" t="n">
        <v>0.19</v>
      </c>
      <c r="F25" s="63" t="inlineStr">
        <is>
          <t>用户账号管理（界面+API）</t>
        </is>
      </c>
      <c r="G25" s="64" t="n">
        <v>1.47</v>
      </c>
      <c r="H25" s="63" t="inlineStr">
        <is>
          <t>—</t>
        </is>
      </c>
      <c r="I25" s="64" t="n">
        <v>0.16</v>
      </c>
      <c r="J25" s="63" t="inlineStr">
        <is>
          <t>账号用例</t>
        </is>
      </c>
      <c r="K25" s="64" t="n">
        <v>0.45</v>
      </c>
      <c r="L25" s="63" t="inlineStr">
        <is>
          <t>SLC文档</t>
        </is>
      </c>
      <c r="M25" s="64" t="n">
        <v>0.38</v>
      </c>
      <c r="N25" s="64">
        <f>ROUND(E25+G25+I25+K25+M25,2)</f>
        <v/>
      </c>
      <c r="O25" s="63" t="inlineStr">
        <is>
          <t>4.2</t>
        </is>
      </c>
      <c r="P25" s="62" t="inlineStr">
        <is>
          <t>Wade/DevB / 10/22</t>
        </is>
      </c>
    </row>
    <row r="26" ht="34" customHeight="1">
      <c r="A26" s="62" t="inlineStr">
        <is>
          <t>F08-03</t>
        </is>
      </c>
      <c r="B26" s="63" t="inlineStr">
        <is>
          <t>模块8·全局治理</t>
        </is>
      </c>
      <c r="C26" s="63" t="inlineStr">
        <is>
          <t>企业SSO集成</t>
        </is>
      </c>
      <c r="D26" s="63" t="inlineStr">
        <is>
          <t>SSO对接需求（Entra ID）</t>
        </is>
      </c>
      <c r="E26" s="64" t="n">
        <v>0.19</v>
      </c>
      <c r="F26" s="63" t="inlineStr">
        <is>
          <t>SSO集成（Entra ID+MSAL中间件）</t>
        </is>
      </c>
      <c r="G26" s="64" t="n">
        <v>1.47</v>
      </c>
      <c r="H26" s="63" t="inlineStr">
        <is>
          <t>—</t>
        </is>
      </c>
      <c r="I26" s="64" t="n">
        <v>0.66</v>
      </c>
      <c r="J26" s="63" t="inlineStr">
        <is>
          <t>SSO登录用例</t>
        </is>
      </c>
      <c r="K26" s="64" t="n">
        <v>1.05</v>
      </c>
      <c r="L26" s="63" t="inlineStr">
        <is>
          <t>SLC文档</t>
        </is>
      </c>
      <c r="M26" s="64" t="n">
        <v>0.38</v>
      </c>
      <c r="N26" s="64">
        <f>ROUND(E26+G26+I26+K26+M26,2)</f>
        <v/>
      </c>
      <c r="O26" s="63" t="inlineStr">
        <is>
          <t>4.3</t>
        </is>
      </c>
      <c r="P26" s="62" t="inlineStr">
        <is>
          <t>Wade/DevB / 10/26</t>
        </is>
      </c>
    </row>
    <row r="27" ht="34" customHeight="1">
      <c r="A27" s="62" t="inlineStr">
        <is>
          <t>F08-04</t>
        </is>
      </c>
      <c r="B27" s="63" t="inlineStr">
        <is>
          <t>模块8·全局治理</t>
        </is>
      </c>
      <c r="C27" s="63" t="inlineStr">
        <is>
          <t>用户身份自动识别与关联</t>
        </is>
      </c>
      <c r="D27" s="63" t="inlineStr">
        <is>
          <t>身份映射规则</t>
        </is>
      </c>
      <c r="E27" s="64" t="n">
        <v>0.38</v>
      </c>
      <c r="F27" s="63" t="inlineStr">
        <is>
          <t>身份自动识别与关联</t>
        </is>
      </c>
      <c r="G27" s="64" t="n">
        <v>0.16</v>
      </c>
      <c r="H27" s="63" t="inlineStr">
        <is>
          <t>—</t>
        </is>
      </c>
      <c r="I27" s="64" t="n">
        <v>0.82</v>
      </c>
      <c r="J27" s="63" t="inlineStr">
        <is>
          <t>身份关联用例</t>
        </is>
      </c>
      <c r="K27" s="64" t="n">
        <v>0.45</v>
      </c>
      <c r="L27" s="63" t="inlineStr">
        <is>
          <t>SLC文档</t>
        </is>
      </c>
      <c r="M27" s="64" t="n">
        <v>0.19</v>
      </c>
      <c r="N27" s="64">
        <f>ROUND(E27+G27+I27+K27+M27,2)</f>
        <v/>
      </c>
      <c r="O27" s="63" t="inlineStr">
        <is>
          <t>4.4</t>
        </is>
      </c>
      <c r="P27" s="62" t="inlineStr">
        <is>
          <t>Wade/DevB / 10/27</t>
        </is>
      </c>
    </row>
    <row r="28" ht="34" customHeight="1">
      <c r="A28" s="62" t="inlineStr">
        <is>
          <t>F08-05</t>
        </is>
      </c>
      <c r="B28" s="63" t="inlineStr">
        <is>
          <t>模块8·全局治理</t>
        </is>
      </c>
      <c r="C28" s="63" t="inlineStr">
        <is>
          <t>登录状态与异常访问控制</t>
        </is>
      </c>
      <c r="D28" s="63" t="inlineStr">
        <is>
          <t>异常访问控制策略</t>
        </is>
      </c>
      <c r="E28" s="64" t="n">
        <v>0.19</v>
      </c>
      <c r="F28" s="63" t="inlineStr">
        <is>
          <t>超时/锁定/失效控制</t>
        </is>
      </c>
      <c r="G28" s="64" t="n">
        <v>0.65</v>
      </c>
      <c r="H28" s="63" t="inlineStr">
        <is>
          <t>—</t>
        </is>
      </c>
      <c r="I28" s="64" t="n">
        <v>0.65</v>
      </c>
      <c r="J28" s="63" t="inlineStr">
        <is>
          <t>异常登录用例</t>
        </is>
      </c>
      <c r="K28" s="64" t="n">
        <v>0.6</v>
      </c>
      <c r="L28" s="63" t="inlineStr">
        <is>
          <t>SLC文档</t>
        </is>
      </c>
      <c r="M28" s="64" t="n">
        <v>0.19</v>
      </c>
      <c r="N28" s="64">
        <f>ROUND(E28+G28+I28+K28+M28,2)</f>
        <v/>
      </c>
      <c r="O28" s="63" t="inlineStr">
        <is>
          <t>4.5</t>
        </is>
      </c>
      <c r="P28" s="62" t="inlineStr">
        <is>
          <t>Wade/DevB / 10/27</t>
        </is>
      </c>
    </row>
    <row r="29" ht="34" customHeight="1">
      <c r="A29" s="65" t="inlineStr">
        <is>
          <t>G1</t>
        </is>
      </c>
      <c r="B29" s="66" t="inlineStr">
        <is>
          <t>公共支撑</t>
        </is>
      </c>
      <c r="C29" s="66" t="inlineStr">
        <is>
          <t>需求与SRS（跨功能）</t>
        </is>
      </c>
      <c r="D29" s="66" t="inlineStr">
        <is>
          <t>业务访谈/26项澄清/SRS生成评审M1/需求贯穿</t>
        </is>
      </c>
      <c r="E29" s="67" t="n">
        <v>7.52</v>
      </c>
      <c r="F29" s="66" t="inlineStr">
        <is>
          <t>—</t>
        </is>
      </c>
      <c r="G29" s="67" t="n"/>
      <c r="H29" s="66" t="inlineStr">
        <is>
          <t>—</t>
        </is>
      </c>
      <c r="I29" s="67" t="n"/>
      <c r="J29" s="66" t="inlineStr">
        <is>
          <t>NFR可执行化/测试计划/AI用例首批试点</t>
        </is>
      </c>
      <c r="K29" s="67" t="n">
        <v>2.73</v>
      </c>
      <c r="L29" s="66" t="inlineStr">
        <is>
          <t>—</t>
        </is>
      </c>
      <c r="M29" s="67" t="n"/>
      <c r="N29" s="67" t="inlineStr">
        <is>
          <t>—</t>
        </is>
      </c>
      <c r="O29" s="67">
        <f>ROUND(E29+G29+I29+K29+M29,2)</f>
        <v/>
      </c>
      <c r="P29" s="65" t="inlineStr">
        <is>
          <t>2.1,2.2,2.3,2.4</t>
        </is>
      </c>
      <c r="Q29" s="66" t="inlineStr">
        <is>
          <t>12/25</t>
        </is>
      </c>
    </row>
    <row r="30" ht="34" customHeight="1">
      <c r="A30" s="65" t="inlineStr">
        <is>
          <t>G2</t>
        </is>
      </c>
      <c r="B30" s="66" t="inlineStr">
        <is>
          <t>公共支撑</t>
        </is>
      </c>
      <c r="C30" s="66" t="inlineStr">
        <is>
          <t>工程初始化与部署基座（N1+N4-1/2/3）</t>
        </is>
      </c>
      <c r="D30" s="66" t="inlineStr">
        <is>
          <t>—</t>
        </is>
      </c>
      <c r="E30" s="67" t="n"/>
      <c r="F30" s="66" t="inlineStr">
        <is>
          <t>仓库/规范/前端骨架/四道门禁CI-CD/部署流水线/K8s清单</t>
        </is>
      </c>
      <c r="G30" s="67" t="n">
        <v>6.39</v>
      </c>
      <c r="H30" s="66" t="inlineStr">
        <is>
          <t>后端骨架/集群对接/测试环境先期部署</t>
        </is>
      </c>
      <c r="I30" s="67" t="n">
        <v>2.75</v>
      </c>
      <c r="J30" s="66" t="inlineStr">
        <is>
          <t>基座与门禁验证/测试环境验证</t>
        </is>
      </c>
      <c r="K30" s="67" t="n">
        <v>1.5</v>
      </c>
      <c r="L30" s="66" t="inlineStr">
        <is>
          <t>工程基座SLC</t>
        </is>
      </c>
      <c r="M30" s="67" t="n">
        <v>0.38</v>
      </c>
      <c r="N30" s="67" t="inlineStr">
        <is>
          <t>—</t>
        </is>
      </c>
      <c r="O30" s="67">
        <f>ROUND(E30+G30+I30+K30+M30,2)</f>
        <v/>
      </c>
      <c r="P30" s="65" t="inlineStr">
        <is>
          <t>3.3,3.4</t>
        </is>
      </c>
      <c r="Q30" s="66" t="inlineStr">
        <is>
          <t>10/09</t>
        </is>
      </c>
    </row>
    <row r="31" ht="34" customHeight="1">
      <c r="A31" s="65" t="inlineStr">
        <is>
          <t>G3</t>
        </is>
      </c>
      <c r="B31" s="66" t="inlineStr">
        <is>
          <t>公共支撑</t>
        </is>
      </c>
      <c r="C31" s="66" t="inlineStr">
        <is>
          <t>架构与数据设计</t>
        </is>
      </c>
      <c r="D31" s="66" t="inlineStr">
        <is>
          <t>—</t>
        </is>
      </c>
      <c r="E31" s="67" t="n"/>
      <c r="F31" s="66" t="inlineStr">
        <is>
          <t>UC权限与查询模型/资源验收/架构终稿/外部评审#1/M2</t>
        </is>
      </c>
      <c r="G31" s="67" t="n">
        <v>4.25</v>
      </c>
      <c r="H31" s="66" t="inlineStr">
        <is>
          <t>四层表结构/DDL/分层设计/迁移方案/非功能设计</t>
        </is>
      </c>
      <c r="I31" s="67" t="n">
        <v>9.050000000000001</v>
      </c>
      <c r="J31" s="66" t="inlineStr">
        <is>
          <t>—</t>
        </is>
      </c>
      <c r="K31" s="67" t="n"/>
      <c r="L31" s="66" t="inlineStr">
        <is>
          <t>—</t>
        </is>
      </c>
      <c r="M31" s="67" t="n"/>
      <c r="N31" s="67" t="inlineStr">
        <is>
          <t>—</t>
        </is>
      </c>
      <c r="O31" s="67">
        <f>ROUND(E31+G31+I31+K31+M31,2)</f>
        <v/>
      </c>
      <c r="P31" s="65" t="inlineStr">
        <is>
          <t>3.1,3.2</t>
        </is>
      </c>
      <c r="Q31" s="66" t="inlineStr">
        <is>
          <t>09/30</t>
        </is>
      </c>
    </row>
    <row r="32" ht="34" customHeight="1">
      <c r="A32" s="65" t="inlineStr">
        <is>
          <t>G4</t>
        </is>
      </c>
      <c r="B32" s="66" t="inlineStr">
        <is>
          <t>公共支撑</t>
        </is>
      </c>
      <c r="C32" s="66" t="inlineStr">
        <is>
          <t>样本数据与MVP评审</t>
        </is>
      </c>
      <c r="D32" s="66" t="inlineStr">
        <is>
          <t>—</t>
        </is>
      </c>
      <c r="E32" s="67" t="n"/>
      <c r="F32" s="66" t="inlineStr">
        <is>
          <t>样本端到端联调M3</t>
        </is>
      </c>
      <c r="G32" s="67" t="n">
        <v>1</v>
      </c>
      <c r="H32" s="66" t="inlineStr">
        <is>
          <t>—</t>
        </is>
      </c>
      <c r="I32" s="67" t="n"/>
      <c r="J32" s="66" t="inlineStr">
        <is>
          <t>样本数据集/M3评审支持</t>
        </is>
      </c>
      <c r="K32" s="67" t="n">
        <v>1.25</v>
      </c>
      <c r="L32" s="66" t="inlineStr">
        <is>
          <t>—</t>
        </is>
      </c>
      <c r="M32" s="67" t="n"/>
      <c r="N32" s="67" t="inlineStr">
        <is>
          <t>—</t>
        </is>
      </c>
      <c r="O32" s="67">
        <f>ROUND(E32+G32+I32+K32+M32,2)</f>
        <v/>
      </c>
      <c r="P32" s="65" t="inlineStr">
        <is>
          <t>4.13</t>
        </is>
      </c>
      <c r="Q32" s="66" t="inlineStr">
        <is>
          <t>11/12</t>
        </is>
      </c>
    </row>
    <row r="33" ht="34" customHeight="1">
      <c r="A33" s="65" t="inlineStr">
        <is>
          <t>G5</t>
        </is>
      </c>
      <c r="B33" s="66" t="inlineStr">
        <is>
          <t>公共支撑</t>
        </is>
      </c>
      <c r="C33" s="66" t="inlineStr">
        <is>
          <t>集成、质量治理与CC迁移演练</t>
        </is>
      </c>
      <c r="D33" s="66" t="inlineStr">
        <is>
          <t>—</t>
        </is>
      </c>
      <c r="E33" s="67" t="n"/>
      <c r="F33" s="66" t="inlineStr">
        <is>
          <t>N2治理A侧/集成联调/CC适配/缺陷收敛</t>
        </is>
      </c>
      <c r="G33" s="67" t="n">
        <v>9.449999999999999</v>
      </c>
      <c r="H33" s="66" t="inlineStr">
        <is>
          <t>N2治理B侧/CC迁移演练/对账报告/增量接入框架</t>
        </is>
      </c>
      <c r="I33" s="67" t="n">
        <v>12.28</v>
      </c>
      <c r="J33" s="66" t="inlineStr">
        <is>
          <t>质量抽检/26项核对/系统测试轮1/UAT准备/M4</t>
        </is>
      </c>
      <c r="K33" s="67" t="n">
        <v>6.75</v>
      </c>
      <c r="L33" s="66" t="inlineStr">
        <is>
          <t>质量治理SLC</t>
        </is>
      </c>
      <c r="M33" s="67" t="n">
        <v>0.19</v>
      </c>
      <c r="N33" s="67" t="inlineStr">
        <is>
          <t>冻结与就绪评审M5</t>
        </is>
      </c>
      <c r="O33" s="67">
        <f>ROUND(E33+G33+I33+K33+M33+1,2)</f>
        <v/>
      </c>
      <c r="P33" s="65" t="inlineStr">
        <is>
          <t>5.15,6.1,6.2,6.3…</t>
        </is>
      </c>
      <c r="Q33" s="66" t="inlineStr">
        <is>
          <t>12/28</t>
        </is>
      </c>
    </row>
    <row r="34" ht="34" customHeight="1">
      <c r="A34" s="65" t="inlineStr">
        <is>
          <t>G6</t>
        </is>
      </c>
      <c r="B34" s="66" t="inlineStr">
        <is>
          <t>公共支撑</t>
        </is>
      </c>
      <c r="C34" s="66" t="inlineStr">
        <is>
          <t>系统测试与UAT</t>
        </is>
      </c>
      <c r="D34" s="66" t="inlineStr">
        <is>
          <t>—</t>
        </is>
      </c>
      <c r="E34" s="67" t="n"/>
      <c r="F34" s="66" t="inlineStr">
        <is>
          <t>—</t>
        </is>
      </c>
      <c r="G34" s="67" t="n"/>
      <c r="H34" s="66" t="inlineStr">
        <is>
          <t>—</t>
        </is>
      </c>
      <c r="I34" s="67" t="n"/>
      <c r="J34" s="66" t="inlineStr">
        <is>
          <t>全量测试/缺陷回归/UAT组织M6</t>
        </is>
      </c>
      <c r="K34" s="67" t="n">
        <v>2.8</v>
      </c>
      <c r="L34" s="66" t="inlineStr">
        <is>
          <t>测试报告+UAT报告+SLC合稿定稿</t>
        </is>
      </c>
      <c r="M34" s="67" t="n">
        <v>0.75</v>
      </c>
      <c r="N34" s="67" t="inlineStr">
        <is>
          <t>—</t>
        </is>
      </c>
      <c r="O34" s="67">
        <f>ROUND(E34+G34+I34+K34+M34,2)</f>
        <v/>
      </c>
      <c r="P34" s="65" t="inlineStr">
        <is>
          <t>7.1</t>
        </is>
      </c>
      <c r="Q34" s="66" t="inlineStr">
        <is>
          <t>12/18</t>
        </is>
      </c>
    </row>
    <row r="35" ht="34" customHeight="1">
      <c r="A35" s="65" t="inlineStr">
        <is>
          <t>G7</t>
        </is>
      </c>
      <c r="B35" s="66" t="inlineStr">
        <is>
          <t>公共支撑</t>
        </is>
      </c>
      <c r="C35" s="66" t="inlineStr">
        <is>
          <t>非功能专项与全局实现、开发侧文档</t>
        </is>
      </c>
      <c r="D35" s="66" t="inlineStr">
        <is>
          <t>鉴权掩码策略澄清</t>
        </is>
      </c>
      <c r="E35" s="67" t="n">
        <v>0.19</v>
      </c>
      <c r="F35" s="66" t="inlineStr">
        <is>
          <t>N3前端性能/鉴权掩码前端/专项/N5架构接口文档</t>
        </is>
      </c>
      <c r="G35" s="67" t="n">
        <v>6.77</v>
      </c>
      <c r="H35" s="66" t="inlineStr">
        <is>
          <t>N3数据性能/可观测/容量/迁移预跑/安全专项/N5数据文档</t>
        </is>
      </c>
      <c r="I35" s="67" t="n">
        <v>8.300000000000001</v>
      </c>
      <c r="J35" s="66" t="inlineStr">
        <is>
          <t>N3专项用例</t>
        </is>
      </c>
      <c r="K35" s="67" t="n">
        <v>1.5</v>
      </c>
      <c r="L35" s="66" t="inlineStr">
        <is>
          <t>N5合稿评审</t>
        </is>
      </c>
      <c r="M35" s="67" t="n">
        <v>0.38</v>
      </c>
      <c r="N35" s="67" t="inlineStr">
        <is>
          <t>生产就绪评审</t>
        </is>
      </c>
      <c r="O35" s="67">
        <f>ROUND(E35+G35+I35+K35+M35+1,2)</f>
        <v/>
      </c>
      <c r="P35" s="65" t="inlineStr">
        <is>
          <t>5.14,7.2,7.3</t>
        </is>
      </c>
      <c r="Q35" s="66" t="inlineStr">
        <is>
          <t>12/28</t>
        </is>
      </c>
    </row>
    <row r="36" ht="34" customHeight="1">
      <c r="A36" s="65" t="inlineStr">
        <is>
          <t>G8</t>
        </is>
      </c>
      <c r="B36" s="66" t="inlineStr">
        <is>
          <t>公共支撑</t>
        </is>
      </c>
      <c r="C36" s="66" t="inlineStr">
        <is>
          <t>部署上线与交付</t>
        </is>
      </c>
      <c r="D36" s="66" t="inlineStr">
        <is>
          <t>上线首日支持/业务确认</t>
        </is>
      </c>
      <c r="E36" s="67" t="n">
        <v>1.5</v>
      </c>
      <c r="F36" s="66" t="inlineStr">
        <is>
          <t>生产部署/上线验证/值守交接应用侧</t>
        </is>
      </c>
      <c r="G36" s="67" t="n">
        <v>3</v>
      </c>
      <c r="H36" s="66" t="inlineStr">
        <is>
          <t>CC全量迁移/作业启动/值守交接数据侧</t>
        </is>
      </c>
      <c r="I36" s="67" t="n">
        <v>3.25</v>
      </c>
      <c r="J36" s="66" t="inlineStr">
        <is>
          <t>上线Checklist</t>
        </is>
      </c>
      <c r="K36" s="67" t="n">
        <v>0.75</v>
      </c>
      <c r="L36" s="66" t="inlineStr">
        <is>
          <t>部署运维SLC/复盘</t>
        </is>
      </c>
      <c r="M36" s="67" t="n">
        <v>0.38</v>
      </c>
      <c r="N36" s="67" t="inlineStr">
        <is>
          <t>交付确认M7</t>
        </is>
      </c>
      <c r="O36" s="67">
        <f>ROUND(E36+G36+I36+K36+M36,2)</f>
        <v/>
      </c>
      <c r="P36" s="65" t="inlineStr">
        <is>
          <t>8.1,8.2</t>
        </is>
      </c>
      <c r="Q36" s="66" t="inlineStr">
        <is>
          <t>12/31</t>
        </is>
      </c>
    </row>
    <row r="37" ht="34" customHeight="1">
      <c r="A37" s="65" t="inlineStr">
        <is>
          <t>G9</t>
        </is>
      </c>
      <c r="B37" s="66" t="inlineStr">
        <is>
          <t>公共支撑</t>
        </is>
      </c>
      <c r="C37" s="66" t="inlineStr">
        <is>
          <t>项目管理（Mark）</t>
        </is>
      </c>
      <c r="D37" s="66" t="inlineStr">
        <is>
          <t>—</t>
        </is>
      </c>
      <c r="E37" s="67" t="n"/>
      <c r="F37" s="66" t="inlineStr">
        <is>
          <t>—</t>
        </is>
      </c>
      <c r="G37" s="67" t="n"/>
      <c r="H37" s="66" t="inlineStr">
        <is>
          <t>—</t>
        </is>
      </c>
      <c r="I37" s="67" t="n"/>
      <c r="J37" s="66" t="inlineStr">
        <is>
          <t>—</t>
        </is>
      </c>
      <c r="K37" s="67" t="n"/>
      <c r="L37" s="66" t="inlineStr">
        <is>
          <t>会议纪要与项目文档整理</t>
        </is>
      </c>
      <c r="M37" s="67" t="n">
        <v>0.75</v>
      </c>
      <c r="N37" s="67" t="inlineStr">
        <is>
          <t>启动会/周例会/每日同步/进度风险跟踪/里程碑评审/收尾</t>
        </is>
      </c>
      <c r="O37" s="67">
        <f>ROUND(E37+G37+I37+K37+M37+14.38,2)</f>
        <v/>
      </c>
      <c r="P37" s="65" t="inlineStr">
        <is>
          <t>1,1.2</t>
        </is>
      </c>
      <c r="Q37" s="66" t="inlineStr">
        <is>
          <t>12/31</t>
        </is>
      </c>
    </row>
    <row r="38">
      <c r="A38" s="8" t="inlineStr">
        <is>
          <t>合计</t>
        </is>
      </c>
      <c r="B38" s="8" t="inlineStr"/>
      <c r="C38" s="8" t="inlineStr">
        <is>
          <t>26项功能 + 9类公共支撑</t>
        </is>
      </c>
      <c r="D38" s="8" t="inlineStr">
        <is>
          <t>Mandy·BA</t>
        </is>
      </c>
      <c r="E38" s="44">
        <f>ROUND(SUM(E3:E37),2)</f>
        <v/>
      </c>
      <c r="F38" s="8" t="inlineStr">
        <is>
          <t>Wade（开发A）</t>
        </is>
      </c>
      <c r="G38" s="44">
        <f>ROUND(SUM(G3:G37),2)</f>
        <v/>
      </c>
      <c r="H38" s="8" t="inlineStr">
        <is>
          <t>DevB（开发B）</t>
        </is>
      </c>
      <c r="I38" s="44">
        <f>ROUND(SUM(I3:I37),2)</f>
        <v/>
      </c>
      <c r="J38" s="8" t="inlineStr">
        <is>
          <t>Mandy·测试</t>
        </is>
      </c>
      <c r="K38" s="44">
        <f>ROUND(SUM(K3:K37),2)</f>
        <v/>
      </c>
      <c r="L38" s="8" t="inlineStr">
        <is>
          <t>Mandy·文档</t>
        </is>
      </c>
      <c r="M38" s="44">
        <f>ROUND(SUM(M3:M37),2)</f>
        <v/>
      </c>
      <c r="N38" s="44">
        <f>ROUND(SUM(N3:N37),2)</f>
        <v/>
      </c>
      <c r="O38" s="8" t="inlineStr"/>
      <c r="P38" s="8" t="inlineStr">
        <is>
          <t>PM Mark 16.380000000000003</t>
        </is>
      </c>
    </row>
    <row r="39">
      <c r="A39" s="68" t="inlineStr">
        <is>
          <t>V2.1排期对账：Mandy三职 68.2（BA 18.44 + 测试 37.83 + 文档 11.930000000000001）+ Wade 64.76999999999998 + DevB 64.99 + PM 16.380000000000003 = 214.34人天，与「WBS分解」V2.1完全一致；全部人天=「功能拆解估算」直估×AI执行系数（AI生成×0.65/AI辅助×0.75/自动化×0.9/人工×1.0，测试左移×0.60）；直估原值297.5见拆解估算页；交付2026/12/31</t>
        </is>
      </c>
    </row>
  </sheetData>
  <autoFilter ref="A2:P38"/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FA9DB"/>
    <outlinePr summaryBelow="1" summaryRight="1"/>
    <pageSetUpPr/>
  </sheetPr>
  <dimension ref="A1:L114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19" customWidth="1" min="3" max="3"/>
    <col width="22" customWidth="1" min="4" max="4"/>
    <col width="40" customWidth="1" min="5" max="5"/>
    <col width="8" customWidth="1" min="6" max="6"/>
    <col width="10" customWidth="1" min="7" max="7"/>
    <col width="10" customWidth="1" min="8" max="8"/>
    <col width="8" customWidth="1" min="9" max="9"/>
    <col width="8" customWidth="1" min="10" max="10"/>
    <col width="8" customWidth="1" min="11" max="11"/>
    <col width="9" customWidth="1" min="12" max="12"/>
  </cols>
  <sheetData>
    <row r="1" ht="26" customHeight="1">
      <c r="A1" s="1" t="inlineStr">
        <is>
          <t>功能拆解估算（子任务级直估）：模块→功能→子任务三层结构，25项功能×72子任务 + 非功能与工程支撑×23子任务（F04-04异地灾备=Azure Blob原生能力，不计开发）— 独立估算，不锚定计划185人天；V2.1已按本表排期WBS（直估×AI执行系数=214.3人天，交付2026/12/31）</t>
        </is>
      </c>
    </row>
    <row r="2">
      <c r="A2" s="7" t="inlineStr">
        <is>
          <t>子任务编号</t>
        </is>
      </c>
      <c r="B2" s="7" t="inlineStr">
        <is>
          <t>模块</t>
        </is>
      </c>
      <c r="C2" s="7" t="inlineStr">
        <is>
          <t>功能/组名称</t>
        </is>
      </c>
      <c r="D2" s="7" t="inlineStr">
        <is>
          <t>子任务/工作包</t>
        </is>
      </c>
      <c r="E2" s="7" t="inlineStr">
        <is>
          <t>工作内容要点</t>
        </is>
      </c>
      <c r="F2" s="7" t="inlineStr">
        <is>
          <t>BA人天</t>
        </is>
      </c>
      <c r="G2" s="7" t="inlineStr">
        <is>
          <t>开发A·Wade</t>
        </is>
      </c>
      <c r="H2" s="7" t="inlineStr">
        <is>
          <t>开发B·DevB</t>
        </is>
      </c>
      <c r="I2" s="7" t="inlineStr">
        <is>
          <t>测试人天</t>
        </is>
      </c>
      <c r="J2" s="7" t="inlineStr">
        <is>
          <t>SLC人天（按功能）</t>
        </is>
      </c>
      <c r="K2" s="7" t="inlineStr">
        <is>
          <t>小计</t>
        </is>
      </c>
      <c r="L2" s="7" t="inlineStr">
        <is>
          <t>功能/组小计</t>
        </is>
      </c>
    </row>
    <row r="3" ht="26" customHeight="1">
      <c r="A3" s="15" t="inlineStr">
        <is>
          <t>F01-01-1</t>
        </is>
      </c>
      <c r="B3" s="106" t="inlineStr">
        <is>
          <t>模块1·存量历史数据迁移与标准化</t>
        </is>
      </c>
      <c r="C3" s="95" t="inlineStr">
        <is>
          <t>结构化历史数据批量导入</t>
        </is>
      </c>
      <c r="D3" s="32" t="inlineStr">
        <is>
          <t>原系统基本信息录入</t>
        </is>
      </c>
      <c r="E3" s="32" t="inlineStr">
        <is>
          <t>来源系统档案：系统编码/名称/业务域/责任人/退役批次；录入与维护界面+存储API</t>
        </is>
      </c>
      <c r="F3" s="46" t="n">
        <v>0.5</v>
      </c>
      <c r="G3" s="46" t="n">
        <v>1</v>
      </c>
      <c r="H3" s="46" t="n">
        <v>0.5</v>
      </c>
      <c r="I3" s="46" t="n">
        <v>0.5</v>
      </c>
      <c r="J3" s="74" t="n">
        <v>1</v>
      </c>
      <c r="K3" s="46">
        <f>ROUND(SUM(F3:I3),2)</f>
        <v/>
      </c>
      <c r="L3" s="74">
        <f>ROUND(SUM(F3:I9)+J3,2)</f>
        <v/>
      </c>
    </row>
    <row r="4" ht="26" customHeight="1">
      <c r="A4" s="15" t="inlineStr">
        <is>
          <t>F01-01-2</t>
        </is>
      </c>
      <c r="B4" s="102" t="n"/>
      <c r="C4" s="102" t="n"/>
      <c r="D4" s="32" t="inlineStr">
        <is>
          <t>源库DB连接配置</t>
        </is>
      </c>
      <c r="E4" s="32" t="inlineStr">
        <is>
          <t>DB类型/连接串录入，账号密码Key Vault加密存储，连通性测试</t>
        </is>
      </c>
      <c r="F4" s="46" t="n">
        <v>0.25</v>
      </c>
      <c r="G4" s="46" t="n">
        <v>1.5</v>
      </c>
      <c r="H4" s="46" t="n">
        <v>1</v>
      </c>
      <c r="I4" s="46" t="n">
        <v>0.5</v>
      </c>
      <c r="J4" s="102" t="n"/>
      <c r="K4" s="46">
        <f>ROUND(SUM(F4:I4),2)</f>
        <v/>
      </c>
      <c r="L4" s="102" t="n"/>
    </row>
    <row r="5" ht="26" customHeight="1">
      <c r="A5" s="15" t="inlineStr">
        <is>
          <t>F01-01-3</t>
        </is>
      </c>
      <c r="B5" s="102" t="n"/>
      <c r="C5" s="102" t="n"/>
      <c r="D5" s="32" t="inlineStr">
        <is>
          <t>同步表勾选</t>
        </is>
      </c>
      <c r="E5" s="32" t="inlineStr">
        <is>
          <t>拉取源表清单、勾选同步范围、数据量预估与全选过滤</t>
        </is>
      </c>
      <c r="F5" s="46" t="n">
        <v>0.25</v>
      </c>
      <c r="G5" s="46" t="n">
        <v>1.5</v>
      </c>
      <c r="H5" s="46" t="n">
        <v>1</v>
      </c>
      <c r="I5" s="46" t="n">
        <v>0.5</v>
      </c>
      <c r="J5" s="102" t="n"/>
      <c r="K5" s="46">
        <f>ROUND(SUM(F5:I5),2)</f>
        <v/>
      </c>
      <c r="L5" s="102" t="n"/>
    </row>
    <row r="6" ht="26" customHeight="1">
      <c r="A6" s="15" t="inlineStr">
        <is>
          <t>F01-01-4</t>
        </is>
      </c>
      <c r="B6" s="102" t="n"/>
      <c r="C6" s="102" t="n"/>
      <c r="D6" s="32" t="inlineStr">
        <is>
          <t>保留期限与迁移参数配置</t>
        </is>
      </c>
      <c r="E6" s="32" t="inlineStr">
        <is>
          <t>保留策略绑定、迁移批次命名、并发/限速参数</t>
        </is>
      </c>
      <c r="F6" s="46" t="n">
        <v>0.5</v>
      </c>
      <c r="G6" s="46" t="n">
        <v>1</v>
      </c>
      <c r="H6" s="46" t="n">
        <v>0.5</v>
      </c>
      <c r="I6" s="46" t="n">
        <v>0.25</v>
      </c>
      <c r="J6" s="102" t="n"/>
      <c r="K6" s="46">
        <f>ROUND(SUM(F6:I6),2)</f>
        <v/>
      </c>
      <c r="L6" s="102" t="n"/>
    </row>
    <row r="7" ht="26" customHeight="1">
      <c r="A7" s="15" t="inlineStr">
        <is>
          <t>F01-01-5</t>
        </is>
      </c>
      <c r="B7" s="102" t="n"/>
      <c r="C7" s="102" t="n"/>
      <c r="D7" s="32" t="inlineStr">
        <is>
          <t>存储落地实现（Iceberg/UC）</t>
        </is>
      </c>
      <c r="E7" s="32" t="inlineStr">
        <is>
          <t>磁盘目录布局、Iceberg表属性与分区策略、UC目录/Schema/授权配置化</t>
        </is>
      </c>
      <c r="F7" s="46" t="n">
        <v>0.25</v>
      </c>
      <c r="G7" s="46" t="n"/>
      <c r="H7" s="46" t="n">
        <v>2</v>
      </c>
      <c r="I7" s="46" t="n">
        <v>0.5</v>
      </c>
      <c r="J7" s="102" t="n"/>
      <c r="K7" s="46">
        <f>ROUND(SUM(F7:I7),2)</f>
        <v/>
      </c>
      <c r="L7" s="102" t="n"/>
    </row>
    <row r="8" ht="26" customHeight="1">
      <c r="A8" s="15" t="inlineStr">
        <is>
          <t>F01-01-6</t>
        </is>
      </c>
      <c r="B8" s="102" t="n"/>
      <c r="C8" s="102" t="n"/>
      <c r="D8" s="32" t="inlineStr">
        <is>
          <t>SeaTunnel批量导入作业</t>
        </is>
      </c>
      <c r="E8" s="32" t="inlineStr">
        <is>
          <t>作业配置生成器、分片/断点续传/限速执行</t>
        </is>
      </c>
      <c r="F8" s="46" t="n"/>
      <c r="G8" s="46" t="n">
        <v>0.5</v>
      </c>
      <c r="H8" s="46" t="n">
        <v>2.5</v>
      </c>
      <c r="I8" s="46" t="n">
        <v>1</v>
      </c>
      <c r="J8" s="102" t="n"/>
      <c r="K8" s="46">
        <f>ROUND(SUM(F8:I8),2)</f>
        <v/>
      </c>
      <c r="L8" s="102" t="n"/>
    </row>
    <row r="9" ht="26" customHeight="1">
      <c r="A9" s="15" t="inlineStr">
        <is>
          <t>F01-01-7</t>
        </is>
      </c>
      <c r="B9" s="102" t="n"/>
      <c r="C9" s="103" t="n"/>
      <c r="D9" s="32" t="inlineStr">
        <is>
          <t>导入执行与监控</t>
        </is>
      </c>
      <c r="E9" s="32" t="inlineStr">
        <is>
          <t>任务状态/进度/失败重试/日志查看</t>
        </is>
      </c>
      <c r="F9" s="46" t="n"/>
      <c r="G9" s="46" t="n">
        <v>1.5</v>
      </c>
      <c r="H9" s="46" t="n">
        <v>0.5</v>
      </c>
      <c r="I9" s="46" t="n">
        <v>0.5</v>
      </c>
      <c r="J9" s="103" t="n"/>
      <c r="K9" s="46">
        <f>ROUND(SUM(F9:I9),2)</f>
        <v/>
      </c>
      <c r="L9" s="103" t="n"/>
    </row>
    <row r="10" ht="26" customHeight="1">
      <c r="A10" s="15" t="inlineStr">
        <is>
          <t>F01-02-1</t>
        </is>
      </c>
      <c r="B10" s="102" t="n"/>
      <c r="C10" s="95" t="inlineStr">
        <is>
          <t>非结构化文件及离线包批量导入</t>
        </is>
      </c>
      <c r="D10" s="32" t="inlineStr">
        <is>
          <t>文件来源登记与上传通道</t>
        </is>
      </c>
      <c r="E10" s="32" t="inlineStr">
        <is>
          <t>在线上传/共享路径挂载/离线介质登记</t>
        </is>
      </c>
      <c r="F10" s="46" t="n">
        <v>0.25</v>
      </c>
      <c r="G10" s="46" t="n">
        <v>2</v>
      </c>
      <c r="H10" s="46" t="n">
        <v>1</v>
      </c>
      <c r="I10" s="46" t="n">
        <v>0.5</v>
      </c>
      <c r="J10" s="74" t="n">
        <v>0.5</v>
      </c>
      <c r="K10" s="46">
        <f>ROUND(SUM(F10:I10),2)</f>
        <v/>
      </c>
      <c r="L10" s="74">
        <f>ROUND(SUM(F10:I13)+J10,2)</f>
        <v/>
      </c>
    </row>
    <row r="11" ht="26" customHeight="1">
      <c r="A11" s="15" t="inlineStr">
        <is>
          <t>F01-02-2</t>
        </is>
      </c>
      <c r="B11" s="102" t="n"/>
      <c r="C11" s="102" t="n"/>
      <c r="D11" s="32" t="inlineStr">
        <is>
          <t>大文件分片上传与断点续传</t>
        </is>
      </c>
      <c r="E11" s="32" t="inlineStr">
        <is>
          <t>前端分片上传、后端合并与校验</t>
        </is>
      </c>
      <c r="F11" s="46" t="n"/>
      <c r="G11" s="46" t="n">
        <v>1.5</v>
      </c>
      <c r="H11" s="46" t="n">
        <v>1.5</v>
      </c>
      <c r="I11" s="46" t="n">
        <v>1</v>
      </c>
      <c r="J11" s="102" t="n"/>
      <c r="K11" s="46">
        <f>ROUND(SUM(F11:I11),2)</f>
        <v/>
      </c>
      <c r="L11" s="102" t="n"/>
    </row>
    <row r="12" ht="26" customHeight="1">
      <c r="A12" s="15" t="inlineStr">
        <is>
          <t>F01-02-3</t>
        </is>
      </c>
      <c r="B12" s="102" t="n"/>
      <c r="C12" s="102" t="n"/>
      <c r="D12" s="32" t="inlineStr">
        <is>
          <t>文件包解析</t>
        </is>
      </c>
      <c r="E12" s="32" t="inlineStr">
        <is>
          <t>zip/tar/数据库备份包识别与展开、原始属性保留</t>
        </is>
      </c>
      <c r="F12" s="46" t="n"/>
      <c r="G12" s="46" t="n"/>
      <c r="H12" s="46" t="n">
        <v>1.5</v>
      </c>
      <c r="I12" s="46" t="n">
        <v>0.75</v>
      </c>
      <c r="J12" s="102" t="n"/>
      <c r="K12" s="46">
        <f>ROUND(SUM(F12:I12),2)</f>
        <v/>
      </c>
      <c r="L12" s="102" t="n"/>
    </row>
    <row r="13" ht="26" customHeight="1">
      <c r="A13" s="15" t="inlineStr">
        <is>
          <t>F01-02-4</t>
        </is>
      </c>
      <c r="B13" s="102" t="n"/>
      <c r="C13" s="103" t="n"/>
      <c r="D13" s="32" t="inlineStr">
        <is>
          <t>附件元数据与Blob存储布局</t>
        </is>
      </c>
      <c r="E13" s="32" t="inlineStr">
        <is>
          <t>附件索引表、路径规范、与结构化记录关联</t>
        </is>
      </c>
      <c r="F13" s="46" t="n">
        <v>0.25</v>
      </c>
      <c r="G13" s="46" t="n"/>
      <c r="H13" s="46" t="n">
        <v>1.5</v>
      </c>
      <c r="I13" s="46" t="n">
        <v>0.5</v>
      </c>
      <c r="J13" s="103" t="n"/>
      <c r="K13" s="46">
        <f>ROUND(SUM(F13:I13),2)</f>
        <v/>
      </c>
      <c r="L13" s="103" t="n"/>
    </row>
    <row r="14" ht="26" customHeight="1">
      <c r="A14" s="15" t="inlineStr">
        <is>
          <t>F01-03-1</t>
        </is>
      </c>
      <c r="B14" s="102" t="n"/>
      <c r="C14" s="95" t="inlineStr">
        <is>
          <t>数据导入规则配置</t>
        </is>
      </c>
      <c r="D14" s="32" t="inlineStr">
        <is>
          <t>字段映射规则配置</t>
        </is>
      </c>
      <c r="E14" s="32" t="inlineStr">
        <is>
          <t>源字段→标准字段映射界面、自动映射建议</t>
        </is>
      </c>
      <c r="F14" s="46" t="n">
        <v>0.5</v>
      </c>
      <c r="G14" s="46" t="n">
        <v>2</v>
      </c>
      <c r="H14" s="46" t="n">
        <v>0.5</v>
      </c>
      <c r="I14" s="46" t="n">
        <v>0.5</v>
      </c>
      <c r="J14" s="74" t="n">
        <v>0.5</v>
      </c>
      <c r="K14" s="46">
        <f>ROUND(SUM(F14:I14),2)</f>
        <v/>
      </c>
      <c r="L14" s="74">
        <f>ROUND(SUM(F14:I17)+J14,2)</f>
        <v/>
      </c>
    </row>
    <row r="15" ht="26" customHeight="1">
      <c r="A15" s="15" t="inlineStr">
        <is>
          <t>F01-03-2</t>
        </is>
      </c>
      <c r="B15" s="102" t="n"/>
      <c r="C15" s="102" t="n"/>
      <c r="D15" s="32" t="inlineStr">
        <is>
          <t>格式转换与清洗规则</t>
        </is>
      </c>
      <c r="E15" s="32" t="inlineStr">
        <is>
          <t>类型转换/编码/默认值/脏数据处理策略</t>
        </is>
      </c>
      <c r="F15" s="46" t="n">
        <v>0.5</v>
      </c>
      <c r="G15" s="46" t="n"/>
      <c r="H15" s="46" t="n">
        <v>1.5</v>
      </c>
      <c r="I15" s="46" t="n">
        <v>0.75</v>
      </c>
      <c r="J15" s="102" t="n"/>
      <c r="K15" s="46">
        <f>ROUND(SUM(F15:I15),2)</f>
        <v/>
      </c>
      <c r="L15" s="102" t="n"/>
    </row>
    <row r="16" ht="26" customHeight="1">
      <c r="A16" s="15" t="inlineStr">
        <is>
          <t>F01-03-3</t>
        </is>
      </c>
      <c r="B16" s="102" t="n"/>
      <c r="C16" s="102" t="n"/>
      <c r="D16" s="32" t="inlineStr">
        <is>
          <t>校验规则配置</t>
        </is>
      </c>
      <c r="E16" s="32" t="inlineStr">
        <is>
          <t>必填/唯一/范围/自定义表达式校验</t>
        </is>
      </c>
      <c r="F16" s="46" t="n"/>
      <c r="G16" s="46" t="n">
        <v>1</v>
      </c>
      <c r="H16" s="46" t="n">
        <v>1</v>
      </c>
      <c r="I16" s="46" t="n">
        <v>0.5</v>
      </c>
      <c r="J16" s="102" t="n"/>
      <c r="K16" s="46">
        <f>ROUND(SUM(F16:I16),2)</f>
        <v/>
      </c>
      <c r="L16" s="102" t="n"/>
    </row>
    <row r="17" ht="26" customHeight="1">
      <c r="A17" s="15" t="inlineStr">
        <is>
          <t>F01-03-4</t>
        </is>
      </c>
      <c r="B17" s="102" t="n"/>
      <c r="C17" s="103" t="n"/>
      <c r="D17" s="32" t="inlineStr">
        <is>
          <t>规则版本与试跑预览</t>
        </is>
      </c>
      <c r="E17" s="32" t="inlineStr">
        <is>
          <t>规则版本管理、样本试跑与结果预览</t>
        </is>
      </c>
      <c r="F17" s="46" t="n"/>
      <c r="G17" s="46" t="n">
        <v>0.5</v>
      </c>
      <c r="H17" s="46" t="n">
        <v>1</v>
      </c>
      <c r="I17" s="46" t="n">
        <v>0.5</v>
      </c>
      <c r="J17" s="103" t="n"/>
      <c r="K17" s="46">
        <f>ROUND(SUM(F17:I17),2)</f>
        <v/>
      </c>
      <c r="L17" s="103" t="n"/>
    </row>
    <row r="18" ht="26" customHeight="1">
      <c r="A18" s="15" t="inlineStr">
        <is>
          <t>F01-04-1</t>
        </is>
      </c>
      <c r="B18" s="102" t="n"/>
      <c r="C18" s="95" t="inlineStr">
        <is>
          <t>迁移前完整性基准记录</t>
        </is>
      </c>
      <c r="D18" s="32" t="inlineStr">
        <is>
          <t>基准采集策略定义</t>
        </is>
      </c>
      <c r="E18" s="32" t="inlineStr">
        <is>
          <t>行数/校验和/SHA-256抽样口径</t>
        </is>
      </c>
      <c r="F18" s="46" t="n">
        <v>0.5</v>
      </c>
      <c r="G18" s="46" t="n"/>
      <c r="H18" s="46" t="n">
        <v>1</v>
      </c>
      <c r="I18" s="46" t="n">
        <v>0.25</v>
      </c>
      <c r="J18" s="74" t="n">
        <v>0.5</v>
      </c>
      <c r="K18" s="46">
        <f>ROUND(SUM(F18:I18),2)</f>
        <v/>
      </c>
      <c r="L18" s="74">
        <f>ROUND(SUM(F18:I20)+J18,2)</f>
        <v/>
      </c>
    </row>
    <row r="19" ht="26" customHeight="1">
      <c r="A19" s="15" t="inlineStr">
        <is>
          <t>F01-04-2</t>
        </is>
      </c>
      <c r="B19" s="102" t="n"/>
      <c r="C19" s="102" t="n"/>
      <c r="D19" s="32" t="inlineStr">
        <is>
          <t>基准采集作业与存储</t>
        </is>
      </c>
      <c r="E19" s="32" t="inlineStr">
        <is>
          <t>源端基准快照生成、基准库表</t>
        </is>
      </c>
      <c r="F19" s="46" t="n"/>
      <c r="G19" s="46" t="n"/>
      <c r="H19" s="46" t="n">
        <v>1.5</v>
      </c>
      <c r="I19" s="46" t="n">
        <v>0.5</v>
      </c>
      <c r="J19" s="102" t="n"/>
      <c r="K19" s="46">
        <f>ROUND(SUM(F19:I19),2)</f>
        <v/>
      </c>
      <c r="L19" s="102" t="n"/>
    </row>
    <row r="20" ht="26" customHeight="1">
      <c r="A20" s="15" t="inlineStr">
        <is>
          <t>F01-04-3</t>
        </is>
      </c>
      <c r="B20" s="102" t="n"/>
      <c r="C20" s="103" t="n"/>
      <c r="D20" s="32" t="inlineStr">
        <is>
          <t>基准报告查询展示</t>
        </is>
      </c>
      <c r="E20" s="32" t="inlineStr">
        <is>
          <t>基准结果展示与导出</t>
        </is>
      </c>
      <c r="F20" s="46" t="n"/>
      <c r="G20" s="46" t="n">
        <v>0.5</v>
      </c>
      <c r="H20" s="46" t="n">
        <v>0.25</v>
      </c>
      <c r="I20" s="46" t="n">
        <v>0.25</v>
      </c>
      <c r="J20" s="103" t="n"/>
      <c r="K20" s="46">
        <f>ROUND(SUM(F20:I20),2)</f>
        <v/>
      </c>
      <c r="L20" s="103" t="n"/>
    </row>
    <row r="21" ht="26" customHeight="1">
      <c r="A21" s="15" t="inlineStr">
        <is>
          <t>F01-05-1</t>
        </is>
      </c>
      <c r="B21" s="102" t="n"/>
      <c r="C21" s="95" t="inlineStr">
        <is>
          <t>迁移后完整性比对</t>
        </is>
      </c>
      <c r="D21" s="32" t="inlineStr">
        <is>
          <t>比对引擎</t>
        </is>
      </c>
      <c r="E21" s="32" t="inlineStr">
        <is>
          <t>RAW/CURATED逐层行数与校验和比对、抽样SHA-256</t>
        </is>
      </c>
      <c r="F21" s="46" t="n"/>
      <c r="G21" s="46" t="n"/>
      <c r="H21" s="46" t="n">
        <v>2</v>
      </c>
      <c r="I21" s="46" t="n">
        <v>0.75</v>
      </c>
      <c r="J21" s="74" t="n">
        <v>0.5</v>
      </c>
      <c r="K21" s="46">
        <f>ROUND(SUM(F21:I21),2)</f>
        <v/>
      </c>
      <c r="L21" s="74">
        <f>ROUND(SUM(F21:I22)+J21,2)</f>
        <v/>
      </c>
    </row>
    <row r="22" ht="26" customHeight="1">
      <c r="A22" s="15" t="inlineStr">
        <is>
          <t>F01-05-2</t>
        </is>
      </c>
      <c r="B22" s="103" t="n"/>
      <c r="C22" s="103" t="n"/>
      <c r="D22" s="32" t="inlineStr">
        <is>
          <t>差异报告与处理流程</t>
        </is>
      </c>
      <c r="E22" s="32" t="inlineStr">
        <is>
          <t>差异清单、重迁/豁免记录</t>
        </is>
      </c>
      <c r="F22" s="46" t="n">
        <v>0.25</v>
      </c>
      <c r="G22" s="46" t="n">
        <v>1</v>
      </c>
      <c r="H22" s="46" t="n">
        <v>0.5</v>
      </c>
      <c r="I22" s="46" t="n">
        <v>0.5</v>
      </c>
      <c r="J22" s="103" t="n"/>
      <c r="K22" s="46">
        <f>ROUND(SUM(F22:I22),2)</f>
        <v/>
      </c>
      <c r="L22" s="103" t="n"/>
    </row>
    <row r="23" ht="26" customHeight="1">
      <c r="A23" s="15" t="inlineStr">
        <is>
          <t>F02-01-1</t>
        </is>
      </c>
      <c r="B23" s="107" t="inlineStr">
        <is>
          <t>模块2·实时数据接入与常态化数据治理</t>
        </is>
      </c>
      <c r="C23" s="96" t="inlineStr">
        <is>
          <t>统一元数据模型</t>
        </is>
      </c>
      <c r="D23" s="32" t="inlineStr">
        <is>
          <t>元数据字段体系定义</t>
        </is>
      </c>
      <c r="E23" s="32" t="inlineStr">
        <is>
          <t>字段/类型/必填/密级/保留等级字典</t>
        </is>
      </c>
      <c r="F23" s="46" t="n">
        <v>1.5</v>
      </c>
      <c r="G23" s="46" t="n"/>
      <c r="H23" s="46" t="n">
        <v>0.5</v>
      </c>
      <c r="I23" s="46" t="n">
        <v>0.25</v>
      </c>
      <c r="J23" s="77" t="n">
        <v>0.5</v>
      </c>
      <c r="K23" s="46">
        <f>ROUND(SUM(F23:I23),2)</f>
        <v/>
      </c>
      <c r="L23" s="77">
        <f>ROUND(SUM(F23:I25)+J23,2)</f>
        <v/>
      </c>
    </row>
    <row r="24" ht="26" customHeight="1">
      <c r="A24" s="15" t="inlineStr">
        <is>
          <t>F02-01-2</t>
        </is>
      </c>
      <c r="B24" s="102" t="n"/>
      <c r="C24" s="102" t="n"/>
      <c r="D24" s="32" t="inlineStr">
        <is>
          <t>元数据核心表与API</t>
        </is>
      </c>
      <c r="E24" s="32" t="inlineStr">
        <is>
          <t>核心元数据表实现、CRUD API、Migration</t>
        </is>
      </c>
      <c r="F24" s="46" t="n"/>
      <c r="G24" s="46" t="n"/>
      <c r="H24" s="46" t="n">
        <v>2</v>
      </c>
      <c r="I24" s="46" t="n">
        <v>0.5</v>
      </c>
      <c r="J24" s="102" t="n"/>
      <c r="K24" s="46">
        <f>ROUND(SUM(F24:I24),2)</f>
        <v/>
      </c>
      <c r="L24" s="102" t="n"/>
    </row>
    <row r="25" ht="26" customHeight="1">
      <c r="A25" s="15" t="inlineStr">
        <is>
          <t>F02-01-3</t>
        </is>
      </c>
      <c r="B25" s="102" t="n"/>
      <c r="C25" s="103" t="n"/>
      <c r="D25" s="32" t="inlineStr">
        <is>
          <t>元数据驱动配置机制</t>
        </is>
      </c>
      <c r="E25" s="32" t="inlineStr">
        <is>
          <t>查询配置模型、动态表单渲染协议</t>
        </is>
      </c>
      <c r="F25" s="46" t="n">
        <v>0.25</v>
      </c>
      <c r="G25" s="46" t="n">
        <v>2</v>
      </c>
      <c r="H25" s="46" t="n">
        <v>0.5</v>
      </c>
      <c r="I25" s="46" t="n">
        <v>0.5</v>
      </c>
      <c r="J25" s="103" t="n"/>
      <c r="K25" s="46">
        <f>ROUND(SUM(F25:I25),2)</f>
        <v/>
      </c>
      <c r="L25" s="103" t="n"/>
    </row>
    <row r="26" ht="26" customHeight="1">
      <c r="A26" s="15" t="inlineStr">
        <is>
          <t>F02-02-1</t>
        </is>
      </c>
      <c r="B26" s="102" t="n"/>
      <c r="C26" s="96" t="inlineStr">
        <is>
          <t>来源系统信息绑定</t>
        </is>
      </c>
      <c r="D26" s="32" t="inlineStr">
        <is>
          <t>绑定规则与批次属性</t>
        </is>
      </c>
      <c r="E26" s="32" t="inlineStr">
        <is>
          <t>源编码引用、退役项目/迁移批次属性规则</t>
        </is>
      </c>
      <c r="F26" s="46" t="n">
        <v>0.5</v>
      </c>
      <c r="G26" s="46" t="n"/>
      <c r="H26" s="46" t="n">
        <v>0.75</v>
      </c>
      <c r="I26" s="46" t="n">
        <v>0.25</v>
      </c>
      <c r="J26" s="77" t="n">
        <v>0.5</v>
      </c>
      <c r="K26" s="46">
        <f>ROUND(SUM(F26:I26),2)</f>
        <v/>
      </c>
      <c r="L26" s="77">
        <f>ROUND(SUM(F26:I28)+J26,2)</f>
        <v/>
      </c>
    </row>
    <row r="27" ht="26" customHeight="1">
      <c r="A27" s="15" t="inlineStr">
        <is>
          <t>F02-02-2</t>
        </is>
      </c>
      <c r="B27" s="102" t="n"/>
      <c r="C27" s="102" t="n"/>
      <c r="D27" s="32" t="inlineStr">
        <is>
          <t>接入时自动绑定</t>
        </is>
      </c>
      <c r="E27" s="32" t="inlineStr">
        <is>
          <t>导入/上传时来源属性自动写入与校验</t>
        </is>
      </c>
      <c r="F27" s="46" t="n"/>
      <c r="G27" s="46" t="n"/>
      <c r="H27" s="46" t="n">
        <v>1</v>
      </c>
      <c r="I27" s="46" t="n">
        <v>0.5</v>
      </c>
      <c r="J27" s="102" t="n"/>
      <c r="K27" s="46">
        <f>ROUND(SUM(F27:I27),2)</f>
        <v/>
      </c>
      <c r="L27" s="102" t="n"/>
    </row>
    <row r="28" ht="26" customHeight="1">
      <c r="A28" s="15" t="inlineStr">
        <is>
          <t>F02-02-3</t>
        </is>
      </c>
      <c r="B28" s="103" t="n"/>
      <c r="C28" s="103" t="n"/>
      <c r="D28" s="32" t="inlineStr">
        <is>
          <t>按来源检索与统计</t>
        </is>
      </c>
      <c r="E28" s="32" t="inlineStr">
        <is>
          <t>来源维度筛选、统计报表</t>
        </is>
      </c>
      <c r="F28" s="46" t="n"/>
      <c r="G28" s="46" t="n">
        <v>1</v>
      </c>
      <c r="H28" s="46" t="n">
        <v>0.5</v>
      </c>
      <c r="I28" s="46" t="n">
        <v>0.5</v>
      </c>
      <c r="J28" s="103" t="n"/>
      <c r="K28" s="46">
        <f>ROUND(SUM(F28:I28),2)</f>
        <v/>
      </c>
      <c r="L28" s="103" t="n"/>
    </row>
    <row r="29" ht="26" customHeight="1">
      <c r="A29" s="15" t="inlineStr">
        <is>
          <t>F03-01-1</t>
        </is>
      </c>
      <c r="B29" s="108" t="inlineStr">
        <is>
          <t>模块3·记录归档与档案全生命周期管理</t>
        </is>
      </c>
      <c r="C29" s="97" t="inlineStr">
        <is>
          <t>保留期限到期自动删除</t>
        </is>
      </c>
      <c r="D29" s="32" t="inlineStr">
        <is>
          <t>保留策略配置</t>
        </is>
      </c>
      <c r="E29" s="32" t="inlineStr">
        <is>
          <t>策略规则、继承关系、生效范围</t>
        </is>
      </c>
      <c r="F29" s="46" t="n">
        <v>0.75</v>
      </c>
      <c r="G29" s="46" t="n">
        <v>1</v>
      </c>
      <c r="H29" s="46" t="n">
        <v>0.5</v>
      </c>
      <c r="I29" s="46" t="n">
        <v>0.5</v>
      </c>
      <c r="J29" s="80" t="n">
        <v>0.5</v>
      </c>
      <c r="K29" s="46">
        <f>ROUND(SUM(F29:I29),2)</f>
        <v/>
      </c>
      <c r="L29" s="80">
        <f>ROUND(SUM(F29:I31)+J29,2)</f>
        <v/>
      </c>
    </row>
    <row r="30" ht="26" customHeight="1">
      <c r="A30" s="15" t="inlineStr">
        <is>
          <t>F03-01-2</t>
        </is>
      </c>
      <c r="B30" s="102" t="n"/>
      <c r="C30" s="102" t="n"/>
      <c r="D30" s="32" t="inlineStr">
        <is>
          <t>处置引擎</t>
        </is>
      </c>
      <c r="E30" s="32" t="inlineStr">
        <is>
          <t>到期扫描、豁免检查、DROP PARTITION、VACUUM物理清除</t>
        </is>
      </c>
      <c r="F30" s="46" t="n"/>
      <c r="G30" s="46" t="n"/>
      <c r="H30" s="46" t="n">
        <v>3</v>
      </c>
      <c r="I30" s="46" t="n">
        <v>1</v>
      </c>
      <c r="J30" s="102" t="n"/>
      <c r="K30" s="46">
        <f>ROUND(SUM(F30:I30),2)</f>
        <v/>
      </c>
      <c r="L30" s="102" t="n"/>
    </row>
    <row r="31" ht="26" customHeight="1">
      <c r="A31" s="15" t="inlineStr">
        <is>
          <t>F03-01-3</t>
        </is>
      </c>
      <c r="B31" s="102" t="n"/>
      <c r="C31" s="103" t="n"/>
      <c r="D31" s="32" t="inlineStr">
        <is>
          <t>处置计划审批与台账</t>
        </is>
      </c>
      <c r="E31" s="32" t="inlineStr">
        <is>
          <t>预演清单、审批流、处置留痕台账</t>
        </is>
      </c>
      <c r="F31" s="46" t="n">
        <v>0.25</v>
      </c>
      <c r="G31" s="46" t="n">
        <v>1.5</v>
      </c>
      <c r="H31" s="46" t="n">
        <v>0.5</v>
      </c>
      <c r="I31" s="46" t="n">
        <v>0.5</v>
      </c>
      <c r="J31" s="103" t="n"/>
      <c r="K31" s="46">
        <f>ROUND(SUM(F31:I31),2)</f>
        <v/>
      </c>
      <c r="L31" s="103" t="n"/>
    </row>
    <row r="32" ht="26" customHeight="1">
      <c r="A32" s="15" t="inlineStr">
        <is>
          <t>F03-02-1</t>
        </is>
      </c>
      <c r="B32" s="102" t="n"/>
      <c r="C32" s="97" t="inlineStr">
        <is>
          <t>Legal Hold 冻结</t>
        </is>
      </c>
      <c r="D32" s="32" t="inlineStr">
        <is>
          <t>Hold申请与审批流程</t>
        </is>
      </c>
      <c r="E32" s="32" t="inlineStr">
        <is>
          <t>涉诉/审计/调查场景、审批链定义</t>
        </is>
      </c>
      <c r="F32" s="46" t="n">
        <v>0.75</v>
      </c>
      <c r="G32" s="46" t="n">
        <v>1</v>
      </c>
      <c r="H32" s="46" t="n">
        <v>0.25</v>
      </c>
      <c r="I32" s="46" t="n">
        <v>0.5</v>
      </c>
      <c r="J32" s="80" t="n">
        <v>0.5</v>
      </c>
      <c r="K32" s="46">
        <f>ROUND(SUM(F32:I32),2)</f>
        <v/>
      </c>
      <c r="L32" s="80">
        <f>ROUND(SUM(F32:I34)+J32,2)</f>
        <v/>
      </c>
    </row>
    <row r="33" ht="26" customHeight="1">
      <c r="A33" s="15" t="inlineStr">
        <is>
          <t>F03-02-2</t>
        </is>
      </c>
      <c r="B33" s="102" t="n"/>
      <c r="C33" s="102" t="n"/>
      <c r="D33" s="32" t="inlineStr">
        <is>
          <t>Hold生效与解除实现</t>
        </is>
      </c>
      <c r="E33" s="32" t="inlineStr">
        <is>
          <t>记录级/表级冻结、处置豁免、操作留痕</t>
        </is>
      </c>
      <c r="F33" s="46" t="n"/>
      <c r="G33" s="46" t="n"/>
      <c r="H33" s="46" t="n">
        <v>1.5</v>
      </c>
      <c r="I33" s="46" t="n">
        <v>0.75</v>
      </c>
      <c r="J33" s="102" t="n"/>
      <c r="K33" s="46">
        <f>ROUND(SUM(F33:I33),2)</f>
        <v/>
      </c>
      <c r="L33" s="102" t="n"/>
    </row>
    <row r="34" ht="26" customHeight="1">
      <c r="A34" s="15" t="inlineStr">
        <is>
          <t>F03-02-3</t>
        </is>
      </c>
      <c r="B34" s="103" t="n"/>
      <c r="C34" s="103" t="n"/>
      <c r="D34" s="32" t="inlineStr">
        <is>
          <t>Hold清单管理与提醒</t>
        </is>
      </c>
      <c r="E34" s="32" t="inlineStr">
        <is>
          <t>在Hold清单、解除预警</t>
        </is>
      </c>
      <c r="F34" s="46" t="n"/>
      <c r="G34" s="46" t="n">
        <v>0.5</v>
      </c>
      <c r="H34" s="46" t="n">
        <v>0.25</v>
      </c>
      <c r="I34" s="46" t="n">
        <v>0.25</v>
      </c>
      <c r="J34" s="103" t="n"/>
      <c r="K34" s="46">
        <f>ROUND(SUM(F34:I34),2)</f>
        <v/>
      </c>
      <c r="L34" s="103" t="n"/>
    </row>
    <row r="35" ht="26" customHeight="1">
      <c r="A35" s="15" t="inlineStr">
        <is>
          <t>F04-01-1</t>
        </is>
      </c>
      <c r="B35" s="109" t="inlineStr">
        <is>
          <t>模块4·数据存储与境内数据安全管控</t>
        </is>
      </c>
      <c r="C35" s="98" t="inlineStr">
        <is>
          <t>数据加密存储</t>
        </is>
      </c>
      <c r="D35" s="32" t="inlineStr">
        <is>
          <t>加密策略定义</t>
        </is>
      </c>
      <c r="E35" s="32" t="inlineStr">
        <is>
          <t>SSE+CMK方案、PII字段清单与字段级加密规则</t>
        </is>
      </c>
      <c r="F35" s="46" t="n">
        <v>0.5</v>
      </c>
      <c r="G35" s="46" t="n"/>
      <c r="H35" s="46" t="n">
        <v>0.75</v>
      </c>
      <c r="I35" s="46" t="n">
        <v>0.25</v>
      </c>
      <c r="J35" s="83" t="n">
        <v>0.5</v>
      </c>
      <c r="K35" s="46">
        <f>ROUND(SUM(F35:I35),2)</f>
        <v/>
      </c>
      <c r="L35" s="83">
        <f>ROUND(SUM(F35:I37)+J35,2)</f>
        <v/>
      </c>
    </row>
    <row r="36" ht="26" customHeight="1">
      <c r="A36" s="15" t="inlineStr">
        <is>
          <t>F04-01-2</t>
        </is>
      </c>
      <c r="B36" s="102" t="n"/>
      <c r="C36" s="102" t="n"/>
      <c r="D36" s="32" t="inlineStr">
        <is>
          <t>存储层加密落地【原生】</t>
        </is>
      </c>
      <c r="E36" s="32" t="inlineStr">
        <is>
          <t>ADLS SSE+CMK为存储账户原生选项：启用/托管密钥绑定/轮换/传输加密验证（配置为主）</t>
        </is>
      </c>
      <c r="F36" s="46" t="n"/>
      <c r="G36" s="46" t="n"/>
      <c r="H36" s="46" t="n">
        <v>0.5</v>
      </c>
      <c r="I36" s="46" t="n">
        <v>0.5</v>
      </c>
      <c r="J36" s="102" t="n"/>
      <c r="K36" s="46">
        <f>ROUND(SUM(F36:I36),2)</f>
        <v/>
      </c>
      <c r="L36" s="102" t="n"/>
    </row>
    <row r="37" ht="26" customHeight="1">
      <c r="A37" s="15" t="inlineStr">
        <is>
          <t>F04-01-3</t>
        </is>
      </c>
      <c r="B37" s="102" t="n"/>
      <c r="C37" s="103" t="n"/>
      <c r="D37" s="32" t="inlineStr">
        <is>
          <t>PII字段级加密服务</t>
        </is>
      </c>
      <c r="E37" s="32" t="inlineStr">
        <is>
          <t>应用层加解密、密文索引策略、传输加密验证</t>
        </is>
      </c>
      <c r="F37" s="46" t="n"/>
      <c r="G37" s="46" t="n"/>
      <c r="H37" s="46" t="n">
        <v>1.5</v>
      </c>
      <c r="I37" s="46" t="n">
        <v>0.75</v>
      </c>
      <c r="J37" s="103" t="n"/>
      <c r="K37" s="46">
        <f>ROUND(SUM(F37:I37),2)</f>
        <v/>
      </c>
      <c r="L37" s="103" t="n"/>
    </row>
    <row r="38" ht="26" customHeight="1">
      <c r="A38" s="15" t="inlineStr">
        <is>
          <t>F04-02-1</t>
        </is>
      </c>
      <c r="B38" s="102" t="n"/>
      <c r="C38" s="98" t="inlineStr">
        <is>
          <t>密钥管理</t>
        </is>
      </c>
      <c r="D38" s="32" t="inlineStr">
        <is>
          <t>密钥全流程管理【原生】</t>
        </is>
      </c>
      <c r="E38" s="32" t="inlineStr">
        <is>
          <t>Key Vault原生服务：创建/保管/轮换/吊销/权限=Key Vault+RBAC配置；开发仅应用侧Managed Identity集成与密钥引用</t>
        </is>
      </c>
      <c r="F38" s="46" t="n">
        <v>0.25</v>
      </c>
      <c r="G38" s="46" t="n"/>
      <c r="H38" s="46" t="n">
        <v>0.5</v>
      </c>
      <c r="I38" s="46" t="n">
        <v>0.5</v>
      </c>
      <c r="J38" s="83" t="n">
        <v>0.5</v>
      </c>
      <c r="K38" s="46">
        <f>ROUND(SUM(F38:I38),2)</f>
        <v/>
      </c>
      <c r="L38" s="83">
        <f>ROUND(SUM(F38:I40)+J38,2)</f>
        <v/>
      </c>
    </row>
    <row r="39" ht="26" customHeight="1">
      <c r="A39" s="15" t="inlineStr">
        <is>
          <t>F04-02-2</t>
        </is>
      </c>
      <c r="B39" s="102" t="n"/>
      <c r="C39" s="102" t="n"/>
      <c r="D39" s="32" t="inlineStr">
        <is>
          <t>密钥操作审计与告警【原生】</t>
        </is>
      </c>
      <c r="E39" s="32" t="inlineStr">
        <is>
          <t>Key Vault诊断日志+Azure Monitor原生告警，开发仅对接审计页</t>
        </is>
      </c>
      <c r="F39" s="46" t="n"/>
      <c r="G39" s="46" t="n">
        <v>0.25</v>
      </c>
      <c r="H39" s="46" t="n">
        <v>0.25</v>
      </c>
      <c r="I39" s="46" t="n">
        <v>0.5</v>
      </c>
      <c r="J39" s="102" t="n"/>
      <c r="K39" s="46">
        <f>ROUND(SUM(F39:I39),2)</f>
        <v/>
      </c>
      <c r="L39" s="102" t="n"/>
    </row>
    <row r="40" ht="26" customHeight="1">
      <c r="A40" s="15" t="inlineStr">
        <is>
          <t>F04-02-3</t>
        </is>
      </c>
      <c r="B40" s="102" t="n"/>
      <c r="C40" s="103" t="n"/>
      <c r="D40" s="32" t="inlineStr">
        <is>
          <t>密钥状态展示（不自研管理界面）【原生】</t>
        </is>
      </c>
      <c r="E40" s="32" t="inlineStr">
        <is>
          <t>密钥操作走Azure门户/CLI+RBAC，不自研管理界面；系统内仅密钥状态只读展示</t>
        </is>
      </c>
      <c r="F40" s="46" t="n"/>
      <c r="G40" s="46" t="n">
        <v>0.25</v>
      </c>
      <c r="H40" s="46" t="n"/>
      <c r="I40" s="46" t="n">
        <v>0.25</v>
      </c>
      <c r="J40" s="103" t="n"/>
      <c r="K40" s="46">
        <f>ROUND(SUM(F40:I40),2)</f>
        <v/>
      </c>
      <c r="L40" s="103" t="n"/>
    </row>
    <row r="41" ht="26" customHeight="1">
      <c r="A41" s="15" t="inlineStr">
        <is>
          <t>F04-03-1</t>
        </is>
      </c>
      <c r="B41" s="102" t="n"/>
      <c r="C41" s="98" t="inlineStr">
        <is>
          <t>数据备份管理</t>
        </is>
      </c>
      <c r="D41" s="32" t="inlineStr">
        <is>
          <t>备份策略配置</t>
        </is>
      </c>
      <c r="E41" s="32" t="inlineStr">
        <is>
          <t>备份周期/范围/保留期策略</t>
        </is>
      </c>
      <c r="F41" s="46" t="n">
        <v>0.5</v>
      </c>
      <c r="G41" s="46" t="n">
        <v>0.75</v>
      </c>
      <c r="H41" s="46" t="n">
        <v>0.5</v>
      </c>
      <c r="I41" s="46" t="n">
        <v>0.25</v>
      </c>
      <c r="J41" s="83" t="n">
        <v>0.5</v>
      </c>
      <c r="K41" s="46">
        <f>ROUND(SUM(F41:I41),2)</f>
        <v/>
      </c>
      <c r="L41" s="83">
        <f>ROUND(SUM(F41:I43)+J41,2)</f>
        <v/>
      </c>
    </row>
    <row r="42" ht="26" customHeight="1">
      <c r="A42" s="15" t="inlineStr">
        <is>
          <t>F04-03-2</t>
        </is>
      </c>
      <c r="B42" s="102" t="n"/>
      <c r="C42" s="102" t="n"/>
      <c r="D42" s="32" t="inlineStr">
        <is>
          <t>备份作业与副本创建【原生】</t>
        </is>
      </c>
      <c r="E42" s="32" t="inlineStr">
        <is>
          <t>SQL DB PITR/ADLS生命周期与副本均为原生策略：仅策略配置与脚本化启用</t>
        </is>
      </c>
      <c r="F42" s="46" t="n"/>
      <c r="G42" s="46" t="n"/>
      <c r="H42" s="46" t="n">
        <v>0.5</v>
      </c>
      <c r="I42" s="46" t="n">
        <v>0.5</v>
      </c>
      <c r="J42" s="102" t="n"/>
      <c r="K42" s="46">
        <f>ROUND(SUM(F42:I42),2)</f>
        <v/>
      </c>
      <c r="L42" s="102" t="n"/>
    </row>
    <row r="43" ht="26" customHeight="1">
      <c r="A43" s="15" t="inlineStr">
        <is>
          <t>F04-03-3</t>
        </is>
      </c>
      <c r="B43" s="103" t="n"/>
      <c r="C43" s="103" t="n"/>
      <c r="D43" s="32" t="inlineStr">
        <is>
          <t>备份监控与恢复操作【原生】</t>
        </is>
      </c>
      <c r="E43" s="32" t="inlineStr">
        <is>
          <t>Azure Monitor原生备份告警+恢复流程验证演练</t>
        </is>
      </c>
      <c r="F43" s="46" t="n"/>
      <c r="G43" s="46" t="n">
        <v>0.25</v>
      </c>
      <c r="H43" s="46" t="n">
        <v>0.25</v>
      </c>
      <c r="I43" s="46" t="n">
        <v>0.5</v>
      </c>
      <c r="J43" s="103" t="n"/>
      <c r="K43" s="46">
        <f>ROUND(SUM(F43:I43),2)</f>
        <v/>
      </c>
      <c r="L43" s="103" t="n"/>
    </row>
    <row r="44" ht="26" customHeight="1">
      <c r="A44" s="15" t="inlineStr">
        <is>
          <t>F05-01-1</t>
        </is>
      </c>
      <c r="B44" s="110" t="inlineStr">
        <is>
          <t>模块5·档案检索、智能发现与业务利用</t>
        </is>
      </c>
      <c r="C44" s="104" t="inlineStr">
        <is>
          <t>关键词检索</t>
        </is>
      </c>
      <c r="D44" s="32" t="inlineStr">
        <is>
          <t>检索配置模型</t>
        </is>
      </c>
      <c r="E44" s="32" t="inlineStr">
        <is>
          <t>可检索字段、分词策略、OCR文本索引策略</t>
        </is>
      </c>
      <c r="F44" s="46" t="n">
        <v>0.5</v>
      </c>
      <c r="G44" s="46" t="n">
        <v>0.5</v>
      </c>
      <c r="H44" s="46" t="n">
        <v>1</v>
      </c>
      <c r="I44" s="46" t="n">
        <v>0.25</v>
      </c>
      <c r="J44" s="105" t="n">
        <v>0.5</v>
      </c>
      <c r="K44" s="46">
        <f>ROUND(SUM(F44:I44),2)</f>
        <v/>
      </c>
      <c r="L44" s="105">
        <f>ROUND(SUM(F44:I46)+J44,2)</f>
        <v/>
      </c>
    </row>
    <row r="45" ht="26" customHeight="1">
      <c r="A45" s="15" t="inlineStr">
        <is>
          <t>F05-01-2</t>
        </is>
      </c>
      <c r="B45" s="102" t="n"/>
      <c r="C45" s="102" t="n"/>
      <c r="D45" s="32" t="inlineStr">
        <is>
          <t>检索页动态表单</t>
        </is>
      </c>
      <c r="E45" s="32" t="inlineStr">
        <is>
          <t>元数据驱动渲染、关键词与组合查询</t>
        </is>
      </c>
      <c r="F45" s="46" t="n"/>
      <c r="G45" s="46" t="n">
        <v>2</v>
      </c>
      <c r="H45" s="46" t="n">
        <v>0.25</v>
      </c>
      <c r="I45" s="46" t="n">
        <v>0.5</v>
      </c>
      <c r="J45" s="102" t="n"/>
      <c r="K45" s="46">
        <f>ROUND(SUM(F45:I45),2)</f>
        <v/>
      </c>
      <c r="L45" s="102" t="n"/>
    </row>
    <row r="46" ht="26" customHeight="1">
      <c r="A46" s="15" t="inlineStr">
        <is>
          <t>F05-01-3</t>
        </is>
      </c>
      <c r="B46" s="102" t="n"/>
      <c r="C46" s="103" t="n"/>
      <c r="D46" s="32" t="inlineStr">
        <is>
          <t>查询代理与SERVE层对接</t>
        </is>
      </c>
      <c r="E46" s="32" t="inlineStr">
        <is>
          <t>查询服务、索引优化、结果高亮</t>
        </is>
      </c>
      <c r="F46" s="46" t="n"/>
      <c r="G46" s="46" t="n"/>
      <c r="H46" s="46" t="n">
        <v>1.25</v>
      </c>
      <c r="I46" s="46" t="n">
        <v>0.75</v>
      </c>
      <c r="J46" s="103" t="n"/>
      <c r="K46" s="46">
        <f>ROUND(SUM(F46:I46),2)</f>
        <v/>
      </c>
      <c r="L46" s="103" t="n"/>
    </row>
    <row r="47" ht="26" customHeight="1">
      <c r="A47" s="15" t="inlineStr">
        <is>
          <t>F05-02-1</t>
        </is>
      </c>
      <c r="B47" s="102" t="n"/>
      <c r="C47" s="104" t="inlineStr">
        <is>
          <t>按系统名称检索</t>
        </is>
      </c>
      <c r="D47" s="32" t="inlineStr">
        <is>
          <t>来源系统筛选组件</t>
        </is>
      </c>
      <c r="E47" s="32" t="inlineStr">
        <is>
          <t>来源系统下拉/搜索/多选</t>
        </is>
      </c>
      <c r="F47" s="46" t="n"/>
      <c r="G47" s="46" t="n">
        <v>0.75</v>
      </c>
      <c r="H47" s="46" t="n"/>
      <c r="I47" s="46" t="n">
        <v>0.25</v>
      </c>
      <c r="J47" s="105" t="n">
        <v>0.25</v>
      </c>
      <c r="K47" s="46">
        <f>ROUND(SUM(F47:I47),2)</f>
        <v/>
      </c>
      <c r="L47" s="105">
        <f>ROUND(SUM(F47:I48)+J47,2)</f>
        <v/>
      </c>
    </row>
    <row r="48" ht="26" customHeight="1">
      <c r="A48" s="15" t="inlineStr">
        <is>
          <t>F05-02-2</t>
        </is>
      </c>
      <c r="B48" s="102" t="n"/>
      <c r="C48" s="103" t="n"/>
      <c r="D48" s="32" t="inlineStr">
        <is>
          <t>来源维度查询下推</t>
        </is>
      </c>
      <c r="E48" s="32" t="inlineStr">
        <is>
          <t>sys_id过滤、分区裁剪</t>
        </is>
      </c>
      <c r="F48" s="46" t="n"/>
      <c r="G48" s="46" t="n"/>
      <c r="H48" s="46" t="n">
        <v>0.5</v>
      </c>
      <c r="I48" s="46" t="n">
        <v>0.25</v>
      </c>
      <c r="J48" s="103" t="n"/>
      <c r="K48" s="46">
        <f>ROUND(SUM(F48:I48),2)</f>
        <v/>
      </c>
      <c r="L48" s="103" t="n"/>
    </row>
    <row r="49" ht="26" customHeight="1">
      <c r="A49" s="15" t="inlineStr">
        <is>
          <t>F05-03-1</t>
        </is>
      </c>
      <c r="B49" s="102" t="n"/>
      <c r="C49" s="104" t="inlineStr">
        <is>
          <t>按业务时间检索</t>
        </is>
      </c>
      <c r="D49" s="32" t="inlineStr">
        <is>
          <t>时间维度筛选组件</t>
        </is>
      </c>
      <c r="E49" s="32" t="inlineStr">
        <is>
          <t>创建/修改/业务发生时间范围选择</t>
        </is>
      </c>
      <c r="F49" s="46" t="n"/>
      <c r="G49" s="46" t="n">
        <v>0.75</v>
      </c>
      <c r="H49" s="46" t="n"/>
      <c r="I49" s="46" t="n">
        <v>0.25</v>
      </c>
      <c r="J49" s="105" t="n">
        <v>0.25</v>
      </c>
      <c r="K49" s="46">
        <f>ROUND(SUM(F49:I49),2)</f>
        <v/>
      </c>
      <c r="L49" s="105">
        <f>ROUND(SUM(F49:I50)+J49,2)</f>
        <v/>
      </c>
    </row>
    <row r="50" ht="26" customHeight="1">
      <c r="A50" s="15" t="inlineStr">
        <is>
          <t>F05-03-2</t>
        </is>
      </c>
      <c r="B50" s="102" t="n"/>
      <c r="C50" s="103" t="n"/>
      <c r="D50" s="32" t="inlineStr">
        <is>
          <t>时间分区下推与索引</t>
        </is>
      </c>
      <c r="E50" s="32" t="inlineStr">
        <is>
          <t>分区裁剪、时间索引优化</t>
        </is>
      </c>
      <c r="F50" s="46" t="n"/>
      <c r="G50" s="46" t="n"/>
      <c r="H50" s="46" t="n">
        <v>0.5</v>
      </c>
      <c r="I50" s="46" t="n">
        <v>0.25</v>
      </c>
      <c r="J50" s="103" t="n"/>
      <c r="K50" s="46">
        <f>ROUND(SUM(F50:I50),2)</f>
        <v/>
      </c>
      <c r="L50" s="103" t="n"/>
    </row>
    <row r="51" ht="26" customHeight="1">
      <c r="A51" s="15" t="inlineStr">
        <is>
          <t>F05-04-1</t>
        </is>
      </c>
      <c r="B51" s="102" t="n"/>
      <c r="C51" s="104" t="inlineStr">
        <is>
          <t>检索结果列表展示</t>
        </is>
      </c>
      <c r="D51" s="32" t="inlineStr">
        <is>
          <t>列表展示与分页排序</t>
        </is>
      </c>
      <c r="E51" s="32" t="inlineStr">
        <is>
          <t>关键字段展示、分批加载、虚拟滚动</t>
        </is>
      </c>
      <c r="F51" s="46" t="n"/>
      <c r="G51" s="46" t="n">
        <v>2</v>
      </c>
      <c r="H51" s="46" t="n"/>
      <c r="I51" s="46" t="n">
        <v>0.5</v>
      </c>
      <c r="J51" s="105" t="n">
        <v>0.5</v>
      </c>
      <c r="K51" s="46">
        <f>ROUND(SUM(F51:I51),2)</f>
        <v/>
      </c>
      <c r="L51" s="105">
        <f>ROUND(SUM(F51:I52)+J51,2)</f>
        <v/>
      </c>
    </row>
    <row r="52" ht="26" customHeight="1">
      <c r="A52" s="15" t="inlineStr">
        <is>
          <t>F05-04-2</t>
        </is>
      </c>
      <c r="B52" s="102" t="n"/>
      <c r="C52" s="103" t="n"/>
      <c r="D52" s="32" t="inlineStr">
        <is>
          <t>大批量结果性能</t>
        </is>
      </c>
      <c r="E52" s="32" t="inlineStr">
        <is>
          <t>异步计数、游标分页、缓存</t>
        </is>
      </c>
      <c r="F52" s="46" t="n"/>
      <c r="G52" s="46" t="n">
        <v>0.25</v>
      </c>
      <c r="H52" s="46" t="n">
        <v>0.75</v>
      </c>
      <c r="I52" s="46" t="n">
        <v>0.5</v>
      </c>
      <c r="J52" s="103" t="n"/>
      <c r="K52" s="46">
        <f>ROUND(SUM(F52:I52),2)</f>
        <v/>
      </c>
      <c r="L52" s="103" t="n"/>
    </row>
    <row r="53" ht="26" customHeight="1">
      <c r="A53" s="15" t="inlineStr">
        <is>
          <t>F05-05-1</t>
        </is>
      </c>
      <c r="B53" s="102" t="n"/>
      <c r="C53" s="104" t="inlineStr">
        <is>
          <t>原始文件在线预览</t>
        </is>
      </c>
      <c r="D53" s="32" t="inlineStr">
        <is>
          <t>预览服务</t>
        </is>
      </c>
      <c r="E53" s="32" t="inlineStr">
        <is>
          <t>格式识别、图片/PDF/Office转换</t>
        </is>
      </c>
      <c r="F53" s="46" t="n"/>
      <c r="G53" s="46" t="n"/>
      <c r="H53" s="46" t="n">
        <v>2</v>
      </c>
      <c r="I53" s="46" t="n">
        <v>0.5</v>
      </c>
      <c r="J53" s="105" t="n">
        <v>0.5</v>
      </c>
      <c r="K53" s="46">
        <f>ROUND(SUM(F53:I53),2)</f>
        <v/>
      </c>
      <c r="L53" s="105">
        <f>ROUND(SUM(F53:I55)+J53,2)</f>
        <v/>
      </c>
    </row>
    <row r="54" ht="26" customHeight="1">
      <c r="A54" s="15" t="inlineStr">
        <is>
          <t>F05-05-2</t>
        </is>
      </c>
      <c r="B54" s="102" t="n"/>
      <c r="C54" s="102" t="n"/>
      <c r="D54" s="32" t="inlineStr">
        <is>
          <t>SAS直连与流式加载</t>
        </is>
      </c>
      <c r="E54" s="32" t="inlineStr">
        <is>
          <t>临时SAS链接、流式传输、权限校验</t>
        </is>
      </c>
      <c r="F54" s="46" t="n"/>
      <c r="G54" s="46" t="n">
        <v>0.5</v>
      </c>
      <c r="H54" s="46" t="n">
        <v>1</v>
      </c>
      <c r="I54" s="46" t="n">
        <v>0.5</v>
      </c>
      <c r="J54" s="102" t="n"/>
      <c r="K54" s="46">
        <f>ROUND(SUM(F54:I54),2)</f>
        <v/>
      </c>
      <c r="L54" s="102" t="n"/>
    </row>
    <row r="55" ht="26" customHeight="1">
      <c r="A55" s="15" t="inlineStr">
        <is>
          <t>F05-05-3</t>
        </is>
      </c>
      <c r="B55" s="103" t="n"/>
      <c r="C55" s="103" t="n"/>
      <c r="D55" s="32" t="inlineStr">
        <is>
          <t>前端预览组件</t>
        </is>
      </c>
      <c r="E55" s="32" t="inlineStr">
        <is>
          <t>格式适配、缩放、失败降级下载</t>
        </is>
      </c>
      <c r="F55" s="46" t="n"/>
      <c r="G55" s="46" t="n">
        <v>1.5</v>
      </c>
      <c r="H55" s="46" t="n"/>
      <c r="I55" s="46" t="n">
        <v>0.25</v>
      </c>
      <c r="J55" s="103" t="n"/>
      <c r="K55" s="46">
        <f>ROUND(SUM(F55:I55),2)</f>
        <v/>
      </c>
      <c r="L55" s="103" t="n"/>
    </row>
    <row r="56" ht="26" customHeight="1">
      <c r="A56" s="15" t="inlineStr">
        <is>
          <t>F06-01-1</t>
        </is>
      </c>
      <c r="B56" s="111" t="inlineStr">
        <is>
          <t>模块6·合规管控、审计追踪与合规报表</t>
        </is>
      </c>
      <c r="C56" s="100" t="inlineStr">
        <is>
          <t>归档操作日志记录</t>
        </is>
      </c>
      <c r="D56" s="32" t="inlineStr">
        <is>
          <t>埋点规范与日志模型</t>
        </is>
      </c>
      <c r="E56" s="32" t="inlineStr">
        <is>
          <t>操作对象/用户/时间/结果/IP模型定义</t>
        </is>
      </c>
      <c r="F56" s="46" t="n">
        <v>0.25</v>
      </c>
      <c r="G56" s="46" t="n"/>
      <c r="H56" s="46" t="n">
        <v>0.5</v>
      </c>
      <c r="I56" s="46" t="n">
        <v>0.25</v>
      </c>
      <c r="J56" s="89" t="n">
        <v>0.5</v>
      </c>
      <c r="K56" s="46">
        <f>ROUND(SUM(F56:I56),2)</f>
        <v/>
      </c>
      <c r="L56" s="89">
        <f>ROUND(SUM(F56:I58)+J56,2)</f>
        <v/>
      </c>
    </row>
    <row r="57" ht="26" customHeight="1">
      <c r="A57" s="15" t="inlineStr">
        <is>
          <t>F06-01-2</t>
        </is>
      </c>
      <c r="B57" s="102" t="n"/>
      <c r="C57" s="102" t="n"/>
      <c r="D57" s="32" t="inlineStr">
        <is>
          <t>操作拦截与落库</t>
        </is>
      </c>
      <c r="E57" s="32" t="inlineStr">
        <is>
          <t>归档/导入/上传统一拦截器、异步写入</t>
        </is>
      </c>
      <c r="F57" s="46" t="n"/>
      <c r="G57" s="46" t="n"/>
      <c r="H57" s="46" t="n">
        <v>1</v>
      </c>
      <c r="I57" s="46" t="n">
        <v>0.5</v>
      </c>
      <c r="J57" s="102" t="n"/>
      <c r="K57" s="46">
        <f>ROUND(SUM(F57:I57),2)</f>
        <v/>
      </c>
      <c r="L57" s="102" t="n"/>
    </row>
    <row r="58" ht="26" customHeight="1">
      <c r="A58" s="15" t="inlineStr">
        <is>
          <t>F06-01-3</t>
        </is>
      </c>
      <c r="B58" s="102" t="n"/>
      <c r="C58" s="103" t="n"/>
      <c r="D58" s="32" t="inlineStr">
        <is>
          <t>审计查询界面</t>
        </is>
      </c>
      <c r="E58" s="32" t="inlineStr">
        <is>
          <t>多维筛选与导出（覆盖归档/查询/导出三类日志）</t>
        </is>
      </c>
      <c r="F58" s="46" t="n"/>
      <c r="G58" s="46" t="n">
        <v>1.5</v>
      </c>
      <c r="H58" s="46" t="n">
        <v>0.25</v>
      </c>
      <c r="I58" s="46" t="n">
        <v>0.5</v>
      </c>
      <c r="J58" s="103" t="n"/>
      <c r="K58" s="46">
        <f>ROUND(SUM(F58:I58),2)</f>
        <v/>
      </c>
      <c r="L58" s="103" t="n"/>
    </row>
    <row r="59" ht="26" customHeight="1">
      <c r="A59" s="15" t="inlineStr">
        <is>
          <t>F06-02-1</t>
        </is>
      </c>
      <c r="B59" s="102" t="n"/>
      <c r="C59" s="100" t="inlineStr">
        <is>
          <t>查询操作日志记录</t>
        </is>
      </c>
      <c r="D59" s="32" t="inlineStr">
        <is>
          <t>查询/预览行为埋点</t>
        </is>
      </c>
      <c r="E59" s="32" t="inlineStr">
        <is>
          <t>查询条件脱敏记录、预览行为记录</t>
        </is>
      </c>
      <c r="F59" s="46" t="n"/>
      <c r="G59" s="46" t="n"/>
      <c r="H59" s="46" t="n">
        <v>0.75</v>
      </c>
      <c r="I59" s="46" t="n">
        <v>0.5</v>
      </c>
      <c r="J59" s="89" t="n">
        <v>0.25</v>
      </c>
      <c r="K59" s="46">
        <f>ROUND(SUM(F59:I59),2)</f>
        <v/>
      </c>
      <c r="L59" s="89">
        <f>ROUND(SUM(F59:I60)+J59,2)</f>
        <v/>
      </c>
    </row>
    <row r="60" ht="26" customHeight="1">
      <c r="A60" s="15" t="inlineStr">
        <is>
          <t>F06-02-2</t>
        </is>
      </c>
      <c r="B60" s="102" t="n"/>
      <c r="C60" s="103" t="n"/>
      <c r="D60" s="32" t="inlineStr">
        <is>
          <t>异步批量写入</t>
        </is>
      </c>
      <c r="E60" s="32" t="inlineStr">
        <is>
          <t>缓冲批量写入、不阻塞查询主链路</t>
        </is>
      </c>
      <c r="F60" s="46" t="n"/>
      <c r="G60" s="46" t="n"/>
      <c r="H60" s="46" t="n">
        <v>0.5</v>
      </c>
      <c r="I60" s="46" t="n">
        <v>0.25</v>
      </c>
      <c r="J60" s="103" t="n"/>
      <c r="K60" s="46">
        <f>ROUND(SUM(F60:I60),2)</f>
        <v/>
      </c>
      <c r="L60" s="103" t="n"/>
    </row>
    <row r="61" ht="26" customHeight="1">
      <c r="A61" s="15" t="inlineStr">
        <is>
          <t>F06-03-1</t>
        </is>
      </c>
      <c r="B61" s="102" t="n"/>
      <c r="C61" s="100" t="inlineStr">
        <is>
          <t>导出操作日志记录</t>
        </is>
      </c>
      <c r="D61" s="32" t="inlineStr">
        <is>
          <t>导出行为审计</t>
        </is>
      </c>
      <c r="E61" s="32" t="inlineStr">
        <is>
          <t>导出范围/条数/导出人/IP/下载链接追踪</t>
        </is>
      </c>
      <c r="F61" s="46" t="n"/>
      <c r="G61" s="46" t="n"/>
      <c r="H61" s="46" t="n">
        <v>0.75</v>
      </c>
      <c r="I61" s="46" t="n">
        <v>0.5</v>
      </c>
      <c r="J61" s="89" t="n">
        <v>0.25</v>
      </c>
      <c r="K61" s="46">
        <f>ROUND(SUM(F61:I61),2)</f>
        <v/>
      </c>
      <c r="L61" s="89">
        <f>ROUND(SUM(F61:I62)+J61,2)</f>
        <v/>
      </c>
    </row>
    <row r="62" ht="26" customHeight="1">
      <c r="A62" s="15" t="inlineStr">
        <is>
          <t>F06-03-2</t>
        </is>
      </c>
      <c r="B62" s="103" t="n"/>
      <c r="C62" s="103" t="n"/>
      <c r="D62" s="32" t="inlineStr">
        <is>
          <t>大批量导出告警</t>
        </is>
      </c>
      <c r="E62" s="32" t="inlineStr">
        <is>
          <t>阈值告警、审批联动</t>
        </is>
      </c>
      <c r="F62" s="46" t="n"/>
      <c r="G62" s="46" t="n">
        <v>0.5</v>
      </c>
      <c r="H62" s="46" t="n">
        <v>0.25</v>
      </c>
      <c r="I62" s="46" t="n">
        <v>0.25</v>
      </c>
      <c r="J62" s="103" t="n"/>
      <c r="K62" s="46">
        <f>ROUND(SUM(F62:I62),2)</f>
        <v/>
      </c>
      <c r="L62" s="103" t="n"/>
    </row>
    <row r="63" ht="26" customHeight="1">
      <c r="A63" s="15" t="inlineStr">
        <is>
          <t>F08-01-1</t>
        </is>
      </c>
      <c r="B63" s="112" t="inlineStr">
        <is>
          <t>模块8·系统全局治理、运维与监控</t>
        </is>
      </c>
      <c r="C63" s="101" t="inlineStr">
        <is>
          <t>基础角色权限配置</t>
        </is>
      </c>
      <c r="D63" s="32" t="inlineStr">
        <is>
          <t>RBAC模型与权限矩阵</t>
        </is>
      </c>
      <c r="E63" s="32" t="inlineStr">
        <is>
          <t>角色/菜单/数据范围/记录类型/操作权限定义</t>
        </is>
      </c>
      <c r="F63" s="46" t="n">
        <v>1</v>
      </c>
      <c r="G63" s="46" t="n"/>
      <c r="H63" s="46" t="n">
        <v>0.5</v>
      </c>
      <c r="I63" s="46" t="n">
        <v>0.25</v>
      </c>
      <c r="J63" s="92" t="n">
        <v>1</v>
      </c>
      <c r="K63" s="46">
        <f>ROUND(SUM(F63:I63),2)</f>
        <v/>
      </c>
      <c r="L63" s="92">
        <f>ROUND(SUM(F63:I65)+J63,2)</f>
        <v/>
      </c>
    </row>
    <row r="64" ht="26" customHeight="1">
      <c r="A64" s="15" t="inlineStr">
        <is>
          <t>F08-01-2</t>
        </is>
      </c>
      <c r="B64" s="102" t="n"/>
      <c r="C64" s="102" t="n"/>
      <c r="D64" s="32" t="inlineStr">
        <is>
          <t>角色管理界面与API</t>
        </is>
      </c>
      <c r="E64" s="32" t="inlineStr">
        <is>
          <t>角色CRUD、权限分配界面与接口</t>
        </is>
      </c>
      <c r="F64" s="46" t="n"/>
      <c r="G64" s="46" t="n">
        <v>1.5</v>
      </c>
      <c r="H64" s="46" t="n">
        <v>0.5</v>
      </c>
      <c r="I64" s="46" t="n">
        <v>0.5</v>
      </c>
      <c r="J64" s="102" t="n"/>
      <c r="K64" s="46">
        <f>ROUND(SUM(F64:I64),2)</f>
        <v/>
      </c>
      <c r="L64" s="102" t="n"/>
    </row>
    <row r="65" ht="26" customHeight="1">
      <c r="A65" s="15" t="inlineStr">
        <is>
          <t>F08-01-3</t>
        </is>
      </c>
      <c r="B65" s="102" t="n"/>
      <c r="C65" s="103" t="n"/>
      <c r="D65" s="32" t="inlineStr">
        <is>
          <t>权限校验与UC授权映射</t>
        </is>
      </c>
      <c r="E65" s="32" t="inlineStr">
        <is>
          <t>菜单/接口级校验中间件、UC权限同步</t>
        </is>
      </c>
      <c r="F65" s="46" t="n"/>
      <c r="G65" s="46" t="n"/>
      <c r="H65" s="46" t="n">
        <v>1</v>
      </c>
      <c r="I65" s="46" t="n">
        <v>0.75</v>
      </c>
      <c r="J65" s="103" t="n"/>
      <c r="K65" s="46">
        <f>ROUND(SUM(F65:I65),2)</f>
        <v/>
      </c>
      <c r="L65" s="103" t="n"/>
    </row>
    <row r="66" ht="26" customHeight="1">
      <c r="A66" s="15" t="inlineStr">
        <is>
          <t>F08-02-1</t>
        </is>
      </c>
      <c r="B66" s="102" t="n"/>
      <c r="C66" s="101" t="inlineStr">
        <is>
          <t>用户账号管理</t>
        </is>
      </c>
      <c r="D66" s="32" t="inlineStr">
        <is>
          <t>账号CRUD与生命周期</t>
        </is>
      </c>
      <c r="E66" s="32" t="inlineStr">
        <is>
          <t>创建/启用禁用/密码重置/有效期</t>
        </is>
      </c>
      <c r="F66" s="46" t="n">
        <v>0.25</v>
      </c>
      <c r="G66" s="46" t="n">
        <v>1</v>
      </c>
      <c r="H66" s="46" t="n">
        <v>0.75</v>
      </c>
      <c r="I66" s="46" t="n">
        <v>0.5</v>
      </c>
      <c r="J66" s="92" t="n">
        <v>0.5</v>
      </c>
      <c r="K66" s="46">
        <f>ROUND(SUM(F66:I66),2)</f>
        <v/>
      </c>
      <c r="L66" s="92">
        <f>ROUND(SUM(F66:I67)+J66,2)</f>
        <v/>
      </c>
    </row>
    <row r="67" ht="26" customHeight="1">
      <c r="A67" s="15" t="inlineStr">
        <is>
          <t>F08-02-2</t>
        </is>
      </c>
      <c r="B67" s="102" t="n"/>
      <c r="C67" s="103" t="n"/>
      <c r="D67" s="32" t="inlineStr">
        <is>
          <t>账号与角色绑定</t>
        </is>
      </c>
      <c r="E67" s="32" t="inlineStr">
        <is>
          <t>分配、批量操作、人员交接</t>
        </is>
      </c>
      <c r="F67" s="46" t="n"/>
      <c r="G67" s="46" t="n">
        <v>0.5</v>
      </c>
      <c r="H67" s="46" t="n">
        <v>0.25</v>
      </c>
      <c r="I67" s="46" t="n">
        <v>0.25</v>
      </c>
      <c r="J67" s="103" t="n"/>
      <c r="K67" s="46">
        <f>ROUND(SUM(F67:I67),2)</f>
        <v/>
      </c>
      <c r="L67" s="103" t="n"/>
    </row>
    <row r="68" ht="26" customHeight="1">
      <c r="A68" s="15" t="inlineStr">
        <is>
          <t>F08-03-1</t>
        </is>
      </c>
      <c r="B68" s="102" t="n"/>
      <c r="C68" s="101" t="inlineStr">
        <is>
          <t>企业SSO集成</t>
        </is>
      </c>
      <c r="D68" s="32" t="inlineStr">
        <is>
          <t>Entra ID对接配置【原生】</t>
        </is>
      </c>
      <c r="E68" s="32" t="inlineStr">
        <is>
          <t>应用注册/回调/claims为Entra控制台配置，开发仅环境参数化</t>
        </is>
      </c>
      <c r="F68" s="46" t="n">
        <v>0.25</v>
      </c>
      <c r="G68" s="46" t="n">
        <v>0.5</v>
      </c>
      <c r="H68" s="46" t="n">
        <v>0.5</v>
      </c>
      <c r="I68" s="46" t="n">
        <v>0.5</v>
      </c>
      <c r="J68" s="92" t="n">
        <v>0.5</v>
      </c>
      <c r="K68" s="46">
        <f>ROUND(SUM(F68:I68),2)</f>
        <v/>
      </c>
      <c r="L68" s="92">
        <f>ROUND(SUM(F68:I70)+J68,2)</f>
        <v/>
      </c>
    </row>
    <row r="69" ht="26" customHeight="1">
      <c r="A69" s="15" t="inlineStr">
        <is>
          <t>F08-03-2</t>
        </is>
      </c>
      <c r="B69" s="102" t="n"/>
      <c r="C69" s="102" t="n"/>
      <c r="D69" s="32" t="inlineStr">
        <is>
          <t>SSO登录链路【中间件】</t>
        </is>
      </c>
      <c r="E69" s="32" t="inlineStr">
        <is>
          <t>MSAL/OIDC标准库承载认证流，自研仅登录页/会话与定制逻辑</t>
        </is>
      </c>
      <c r="F69" s="46" t="n"/>
      <c r="G69" s="46" t="n">
        <v>1.25</v>
      </c>
      <c r="H69" s="46" t="n">
        <v>0.5</v>
      </c>
      <c r="I69" s="46" t="n">
        <v>0.75</v>
      </c>
      <c r="J69" s="102" t="n"/>
      <c r="K69" s="46">
        <f>ROUND(SUM(F69:I69),2)</f>
        <v/>
      </c>
      <c r="L69" s="102" t="n"/>
    </row>
    <row r="70" ht="26" customHeight="1">
      <c r="A70" s="15" t="inlineStr">
        <is>
          <t>F08-03-3</t>
        </is>
      </c>
      <c r="B70" s="102" t="n"/>
      <c r="C70" s="103" t="n"/>
      <c r="D70" s="32" t="inlineStr">
        <is>
          <t>认证异常场景处理</t>
        </is>
      </c>
      <c r="E70" s="32" t="inlineStr">
        <is>
          <t>认证失败、账号锁定、多账号冲突</t>
        </is>
      </c>
      <c r="F70" s="46" t="n"/>
      <c r="G70" s="46" t="n">
        <v>0.5</v>
      </c>
      <c r="H70" s="46" t="n"/>
      <c r="I70" s="46" t="n">
        <v>0.5</v>
      </c>
      <c r="J70" s="103" t="n"/>
      <c r="K70" s="46">
        <f>ROUND(SUM(F70:I70),2)</f>
        <v/>
      </c>
      <c r="L70" s="103" t="n"/>
    </row>
    <row r="71" ht="26" customHeight="1">
      <c r="A71" s="15" t="inlineStr">
        <is>
          <t>F08-04-1</t>
        </is>
      </c>
      <c r="B71" s="102" t="n"/>
      <c r="C71" s="101" t="inlineStr">
        <is>
          <t>用户身份自动识别与关联</t>
        </is>
      </c>
      <c r="D71" s="32" t="inlineStr">
        <is>
          <t>身份映射规则</t>
        </is>
      </c>
      <c r="E71" s="32" t="inlineStr">
        <is>
          <t>企业账号↔RIMS用户映射、自动建号规则</t>
        </is>
      </c>
      <c r="F71" s="46" t="n">
        <v>0.5</v>
      </c>
      <c r="G71" s="46" t="n"/>
      <c r="H71" s="46" t="n">
        <v>0.5</v>
      </c>
      <c r="I71" s="46" t="n">
        <v>0.25</v>
      </c>
      <c r="J71" s="92" t="n">
        <v>0.25</v>
      </c>
      <c r="K71" s="46">
        <f>ROUND(SUM(F71:I71),2)</f>
        <v/>
      </c>
      <c r="L71" s="92">
        <f>ROUND(SUM(F71:I72)+J71,2)</f>
        <v/>
      </c>
    </row>
    <row r="72" ht="26" customHeight="1">
      <c r="A72" s="15" t="inlineStr">
        <is>
          <t>F08-04-2</t>
        </is>
      </c>
      <c r="B72" s="102" t="n"/>
      <c r="C72" s="103" t="n"/>
      <c r="D72" s="32" t="inlineStr">
        <is>
          <t>首登自动关联与角色赋予</t>
        </is>
      </c>
      <c r="E72" s="32" t="inlineStr">
        <is>
          <t>默认角色、待分配队列</t>
        </is>
      </c>
      <c r="F72" s="46" t="n"/>
      <c r="G72" s="46" t="n">
        <v>0.25</v>
      </c>
      <c r="H72" s="46" t="n">
        <v>0.75</v>
      </c>
      <c r="I72" s="46" t="n">
        <v>0.5</v>
      </c>
      <c r="J72" s="103" t="n"/>
      <c r="K72" s="46">
        <f>ROUND(SUM(F72:I72),2)</f>
        <v/>
      </c>
      <c r="L72" s="103" t="n"/>
    </row>
    <row r="73" ht="26" customHeight="1">
      <c r="A73" s="15" t="inlineStr">
        <is>
          <t>F08-05-1</t>
        </is>
      </c>
      <c r="B73" s="102" t="n"/>
      <c r="C73" s="101" t="inlineStr">
        <is>
          <t>登录状态与异常访问控制</t>
        </is>
      </c>
      <c r="D73" s="32" t="inlineStr">
        <is>
          <t>会话与超时策略</t>
        </is>
      </c>
      <c r="E73" s="32" t="inlineStr">
        <is>
          <t>超时控制、登出、单点登出</t>
        </is>
      </c>
      <c r="F73" s="46" t="n">
        <v>0.25</v>
      </c>
      <c r="G73" s="46" t="n">
        <v>1</v>
      </c>
      <c r="H73" s="46" t="n">
        <v>0.25</v>
      </c>
      <c r="I73" s="46" t="n">
        <v>0.5</v>
      </c>
      <c r="J73" s="92" t="n">
        <v>0.25</v>
      </c>
      <c r="K73" s="46">
        <f>ROUND(SUM(F73:I73),2)</f>
        <v/>
      </c>
      <c r="L73" s="92">
        <f>ROUND(SUM(F73:I74)+J73,2)</f>
        <v/>
      </c>
    </row>
    <row r="74" ht="26" customHeight="1">
      <c r="A74" s="15" t="inlineStr">
        <is>
          <t>F08-05-2</t>
        </is>
      </c>
      <c r="B74" s="103" t="n"/>
      <c r="C74" s="103" t="n"/>
      <c r="D74" s="32" t="inlineStr">
        <is>
          <t>异常访问控制</t>
        </is>
      </c>
      <c r="E74" s="32" t="inlineStr">
        <is>
          <t>账号锁定、认证失效限制访问、IP策略</t>
        </is>
      </c>
      <c r="F74" s="46" t="n"/>
      <c r="G74" s="46" t="n"/>
      <c r="H74" s="46" t="n">
        <v>0.75</v>
      </c>
      <c r="I74" s="46" t="n">
        <v>0.5</v>
      </c>
      <c r="J74" s="103" t="n"/>
      <c r="K74" s="46">
        <f>ROUND(SUM(F74:I74),2)</f>
        <v/>
      </c>
      <c r="L74" s="103" t="n"/>
    </row>
    <row r="75" ht="26" customHeight="1">
      <c r="A75" s="15" t="inlineStr">
        <is>
          <t>N1-1</t>
        </is>
      </c>
      <c r="B75" s="113" t="inlineStr">
        <is>
          <t>非功能与工程支撑</t>
        </is>
      </c>
      <c r="C75" s="99" t="inlineStr">
        <is>
          <t>工程初始化与开发基座</t>
        </is>
      </c>
      <c r="D75" s="32" t="inlineStr">
        <is>
          <t>项目初始化</t>
        </is>
      </c>
      <c r="E75" s="32" t="inlineStr">
        <is>
          <t>代码仓库/分支策略/开发环境统一/AI工具账号开通</t>
        </is>
      </c>
      <c r="F75" s="46" t="n"/>
      <c r="G75" s="46" t="n">
        <v>1</v>
      </c>
      <c r="H75" s="46" t="n">
        <v>0.25</v>
      </c>
      <c r="I75" s="46" t="n">
        <v>0.25</v>
      </c>
      <c r="J75" s="86" t="n">
        <v>0.5</v>
      </c>
      <c r="K75" s="46">
        <f>ROUND(SUM(F75:I75),2)</f>
        <v/>
      </c>
      <c r="L75" s="86">
        <f>ROUND(SUM(F75:I79)+J75,2)</f>
        <v/>
      </c>
    </row>
    <row r="76" ht="26" customHeight="1">
      <c r="A76" s="15" t="inlineStr">
        <is>
          <t>N1-2</t>
        </is>
      </c>
      <c r="B76" s="102" t="n"/>
      <c r="C76" s="102" t="n"/>
      <c r="D76" s="32" t="inlineStr">
        <is>
          <t>前端工程初始化</t>
        </is>
      </c>
      <c r="E76" s="32" t="inlineStr">
        <is>
          <t>React骨架/路由/布局/组件库/状态管理/构建链</t>
        </is>
      </c>
      <c r="F76" s="46" t="n"/>
      <c r="G76" s="46" t="n">
        <v>1.5</v>
      </c>
      <c r="H76" s="46" t="n"/>
      <c r="I76" s="46" t="n">
        <v>0.25</v>
      </c>
      <c r="J76" s="102" t="n"/>
      <c r="K76" s="46">
        <f>ROUND(SUM(F76:I76),2)</f>
        <v/>
      </c>
      <c r="L76" s="102" t="n"/>
    </row>
    <row r="77" ht="26" customHeight="1">
      <c r="A77" s="15" t="inlineStr">
        <is>
          <t>N1-3</t>
        </is>
      </c>
      <c r="B77" s="102" t="n"/>
      <c r="C77" s="102" t="n"/>
      <c r="D77" s="32" t="inlineStr">
        <is>
          <t>后端工程初始化</t>
        </is>
      </c>
      <c r="E77" s="32" t="inlineStr">
        <is>
          <t>.NET Clean Architecture/EF Core/Docker Compose本地环境</t>
        </is>
      </c>
      <c r="F77" s="46" t="n"/>
      <c r="G77" s="46" t="n"/>
      <c r="H77" s="46" t="n">
        <v>1.5</v>
      </c>
      <c r="I77" s="46" t="n">
        <v>0.25</v>
      </c>
      <c r="J77" s="102" t="n"/>
      <c r="K77" s="46">
        <f>ROUND(SUM(F77:I77),2)</f>
        <v/>
      </c>
      <c r="L77" s="102" t="n"/>
    </row>
    <row r="78" ht="26" customHeight="1">
      <c r="A78" s="15" t="inlineStr">
        <is>
          <t>N1-4</t>
        </is>
      </c>
      <c r="B78" s="102" t="n"/>
      <c r="C78" s="102" t="n"/>
      <c r="D78" s="32" t="inlineStr">
        <is>
          <t>AI开发工具链与编码规范</t>
        </is>
      </c>
      <c r="E78" s="32" t="inlineStr">
        <is>
          <t>提示词模板库/人机协作规约/ADR规范</t>
        </is>
      </c>
      <c r="F78" s="46" t="n"/>
      <c r="G78" s="46" t="n">
        <v>1</v>
      </c>
      <c r="H78" s="46" t="n">
        <v>0.25</v>
      </c>
      <c r="I78" s="46" t="n"/>
      <c r="J78" s="102" t="n"/>
      <c r="K78" s="46">
        <f>ROUND(SUM(F78:I78),2)</f>
        <v/>
      </c>
      <c r="L78" s="102" t="n"/>
    </row>
    <row r="79" ht="26" customHeight="1">
      <c r="A79" s="15" t="inlineStr">
        <is>
          <t>N1-5</t>
        </is>
      </c>
      <c r="B79" s="102" t="n"/>
      <c r="C79" s="103" t="n"/>
      <c r="D79" s="32" t="inlineStr">
        <is>
          <t>四道安全门禁CI/CD</t>
        </is>
      </c>
      <c r="E79" s="32" t="inlineStr">
        <is>
          <t>构建/镜像/SAST·依赖·密钥扫描/越权用例门禁，流水线落地与拦截演示</t>
        </is>
      </c>
      <c r="F79" s="46" t="n"/>
      <c r="G79" s="46" t="n">
        <v>3</v>
      </c>
      <c r="H79" s="46" t="n">
        <v>0.5</v>
      </c>
      <c r="I79" s="46" t="n">
        <v>0.5</v>
      </c>
      <c r="J79" s="103" t="n"/>
      <c r="K79" s="46">
        <f>ROUND(SUM(F79:I79),2)</f>
        <v/>
      </c>
      <c r="L79" s="103" t="n"/>
    </row>
    <row r="80" ht="26" customHeight="1">
      <c r="A80" s="15" t="inlineStr">
        <is>
          <t>N2-1</t>
        </is>
      </c>
      <c r="B80" s="102" t="n"/>
      <c r="C80" s="99" t="inlineStr">
        <is>
          <t>代码质量与静态扫描治理</t>
        </is>
      </c>
      <c r="D80" s="32" t="inlineStr">
        <is>
          <t>前端ESLint/Prettier规约</t>
        </is>
      </c>
      <c r="E80" s="32" t="inlineStr">
        <is>
          <t>规则集接入CI、存量告警清零、格式统一</t>
        </is>
      </c>
      <c r="F80" s="46" t="n"/>
      <c r="G80" s="46" t="n">
        <v>1.5</v>
      </c>
      <c r="H80" s="46" t="n"/>
      <c r="I80" s="46" t="n"/>
      <c r="J80" s="86" t="n">
        <v>0.25</v>
      </c>
      <c r="K80" s="46">
        <f>ROUND(SUM(F80:I80),2)</f>
        <v/>
      </c>
      <c r="L80" s="86">
        <f>ROUND(SUM(F80:I84)+J80,2)</f>
        <v/>
      </c>
    </row>
    <row r="81" ht="26" customHeight="1">
      <c r="A81" s="15" t="inlineStr">
        <is>
          <t>N2-2</t>
        </is>
      </c>
      <c r="B81" s="102" t="n"/>
      <c r="C81" s="102" t="n"/>
      <c r="D81" s="32" t="inlineStr">
        <is>
          <t>后端SonarLint规约</t>
        </is>
      </c>
      <c r="E81" s="32" t="inlineStr">
        <is>
          <t>代码异味/重复块/复杂度阈值治理清零</t>
        </is>
      </c>
      <c r="F81" s="46" t="n"/>
      <c r="G81" s="46" t="n"/>
      <c r="H81" s="46" t="n">
        <v>1.5</v>
      </c>
      <c r="I81" s="46" t="n"/>
      <c r="J81" s="102" t="n"/>
      <c r="K81" s="46">
        <f>ROUND(SUM(F81:I81),2)</f>
        <v/>
      </c>
      <c r="L81" s="102" t="n"/>
    </row>
    <row r="82" ht="26" customHeight="1">
      <c r="A82" s="15" t="inlineStr">
        <is>
          <t>N2-3</t>
        </is>
      </c>
      <c r="B82" s="102" t="n"/>
      <c r="C82" s="102" t="n"/>
      <c r="D82" s="32" t="inlineStr">
        <is>
          <t>SAST安全告警修复</t>
        </is>
      </c>
      <c r="E82" s="32" t="inlineStr">
        <is>
          <t>硬编码密钥/注入/越权路径等静态安全缺陷修复</t>
        </is>
      </c>
      <c r="F82" s="46" t="n"/>
      <c r="G82" s="46" t="n">
        <v>1</v>
      </c>
      <c r="H82" s="46" t="n">
        <v>1</v>
      </c>
      <c r="I82" s="46" t="n">
        <v>0.25</v>
      </c>
      <c r="J82" s="102" t="n"/>
      <c r="K82" s="46">
        <f>ROUND(SUM(F82:I82),2)</f>
        <v/>
      </c>
      <c r="L82" s="102" t="n"/>
    </row>
    <row r="83" ht="26" customHeight="1">
      <c r="A83" s="15" t="inlineStr">
        <is>
          <t>N2-4</t>
        </is>
      </c>
      <c r="B83" s="102" t="n"/>
      <c r="C83" s="102" t="n"/>
      <c r="D83" s="32" t="inlineStr">
        <is>
          <t>依赖漏洞治理（SCA）</t>
        </is>
      </c>
      <c r="E83" s="32" t="inlineStr">
        <is>
          <t>依赖版本锁定、漏洞升级、SBOM产出</t>
        </is>
      </c>
      <c r="F83" s="46" t="n"/>
      <c r="G83" s="46" t="n">
        <v>0.5</v>
      </c>
      <c r="H83" s="46" t="n">
        <v>0.5</v>
      </c>
      <c r="I83" s="46" t="n"/>
      <c r="J83" s="102" t="n"/>
      <c r="K83" s="46">
        <f>ROUND(SUM(F83:I83),2)</f>
        <v/>
      </c>
      <c r="L83" s="102" t="n"/>
    </row>
    <row r="84" ht="26" customHeight="1">
      <c r="A84" s="15" t="inlineStr">
        <is>
          <t>N2-5</t>
        </is>
      </c>
      <c r="B84" s="102" t="n"/>
      <c r="C84" s="103" t="n"/>
      <c r="D84" s="32" t="inlineStr">
        <is>
          <t>技术债偿还与外部评审落实</t>
        </is>
      </c>
      <c r="E84" s="32" t="inlineStr">
        <is>
          <t>每周固定还债窗口、关键模块重构、评审意见闭环</t>
        </is>
      </c>
      <c r="F84" s="46" t="n"/>
      <c r="G84" s="46" t="n">
        <v>1</v>
      </c>
      <c r="H84" s="46" t="n">
        <v>1</v>
      </c>
      <c r="I84" s="46" t="n">
        <v>0.25</v>
      </c>
      <c r="J84" s="103" t="n"/>
      <c r="K84" s="46">
        <f>ROUND(SUM(F84:I84),2)</f>
        <v/>
      </c>
      <c r="L84" s="103" t="n"/>
    </row>
    <row r="85" ht="26" customHeight="1">
      <c r="A85" s="15" t="inlineStr">
        <is>
          <t>N3-1</t>
        </is>
      </c>
      <c r="B85" s="102" t="n"/>
      <c r="C85" s="99" t="inlineStr">
        <is>
          <t>全局非功能实现与优化</t>
        </is>
      </c>
      <c r="D85" s="32" t="inlineStr">
        <is>
          <t>前端性能优化</t>
        </is>
      </c>
      <c r="E85" s="32" t="inlineStr">
        <is>
          <t>懒加载/虚拟滚动/缓存/首屏指标（对照NFR基线）</t>
        </is>
      </c>
      <c r="F85" s="46" t="n"/>
      <c r="G85" s="46" t="n">
        <v>1.5</v>
      </c>
      <c r="H85" s="46" t="n"/>
      <c r="I85" s="46" t="n">
        <v>0.5</v>
      </c>
      <c r="J85" s="86" t="n"/>
      <c r="K85" s="46">
        <f>ROUND(SUM(F85:I85),2)</f>
        <v/>
      </c>
      <c r="L85" s="86">
        <f>ROUND(SUM(F85:I89)+J85,2)</f>
        <v/>
      </c>
    </row>
    <row r="86" ht="26" customHeight="1">
      <c r="A86" s="15" t="inlineStr">
        <is>
          <t>N3-2</t>
        </is>
      </c>
      <c r="B86" s="102" t="n"/>
      <c r="C86" s="102" t="n"/>
      <c r="D86" s="32" t="inlineStr">
        <is>
          <t>查询与数据性能</t>
        </is>
      </c>
      <c r="E86" s="32" t="inlineStr">
        <is>
          <t>分区裁剪/Z-Order/Compaction/小文件治理</t>
        </is>
      </c>
      <c r="F86" s="46" t="n"/>
      <c r="G86" s="46" t="n"/>
      <c r="H86" s="46" t="n">
        <v>1.5</v>
      </c>
      <c r="I86" s="46" t="n">
        <v>0.5</v>
      </c>
      <c r="J86" s="102" t="n"/>
      <c r="K86" s="46">
        <f>ROUND(SUM(F86:I86),2)</f>
        <v/>
      </c>
      <c r="L86" s="102" t="n"/>
    </row>
    <row r="87" ht="26" customHeight="1">
      <c r="A87" s="15" t="inlineStr">
        <is>
          <t>N3-3</t>
        </is>
      </c>
      <c r="B87" s="102" t="n"/>
      <c r="C87" s="102" t="n"/>
      <c r="D87" s="32" t="inlineStr">
        <is>
          <t>统一鉴权与数据掩码中间件</t>
        </is>
      </c>
      <c r="E87" s="32" t="inlineStr">
        <is>
          <t>菜单/API/行级三层校验、掩码旁路防护</t>
        </is>
      </c>
      <c r="F87" s="46" t="n">
        <v>0.25</v>
      </c>
      <c r="G87" s="46" t="n">
        <v>1</v>
      </c>
      <c r="H87" s="46" t="n">
        <v>1</v>
      </c>
      <c r="I87" s="46" t="n">
        <v>0.75</v>
      </c>
      <c r="J87" s="102" t="n"/>
      <c r="K87" s="46">
        <f>ROUND(SUM(F87:I87),2)</f>
        <v/>
      </c>
      <c r="L87" s="102" t="n"/>
    </row>
    <row r="88" ht="26" customHeight="1">
      <c r="A88" s="15" t="inlineStr">
        <is>
          <t>N3-4</t>
        </is>
      </c>
      <c r="B88" s="102" t="n"/>
      <c r="C88" s="102" t="n"/>
      <c r="D88" s="32" t="inlineStr">
        <is>
          <t>可观测性（日志/监控/告警）【原生】</t>
        </is>
      </c>
      <c r="E88" s="32" t="inlineStr">
        <is>
          <t>App Insights/Log Analytics/Azure Monitor原生：开发仅SDK插桩、作业监控对接与仪表盘</t>
        </is>
      </c>
      <c r="F88" s="46" t="n"/>
      <c r="G88" s="46" t="n">
        <v>0.5</v>
      </c>
      <c r="H88" s="46" t="n">
        <v>0.75</v>
      </c>
      <c r="I88" s="46" t="n">
        <v>0.25</v>
      </c>
      <c r="J88" s="102" t="n"/>
      <c r="K88" s="46">
        <f>ROUND(SUM(F88:I88),2)</f>
        <v/>
      </c>
      <c r="L88" s="102" t="n"/>
    </row>
    <row r="89" ht="26" customHeight="1">
      <c r="A89" s="15" t="inlineStr">
        <is>
          <t>N3-5</t>
        </is>
      </c>
      <c r="B89" s="102" t="n"/>
      <c r="C89" s="103" t="n"/>
      <c r="D89" s="32" t="inlineStr">
        <is>
          <t>容量与增长验证</t>
        </is>
      </c>
      <c r="E89" s="32" t="inlineStr">
        <is>
          <t>600~800表规模扩容压测与容量报告</t>
        </is>
      </c>
      <c r="F89" s="46" t="n"/>
      <c r="G89" s="46" t="n"/>
      <c r="H89" s="46" t="n">
        <v>1</v>
      </c>
      <c r="I89" s="46" t="n">
        <v>0.5</v>
      </c>
      <c r="J89" s="103" t="n"/>
      <c r="K89" s="46">
        <f>ROUND(SUM(F89:I89),2)</f>
        <v/>
      </c>
      <c r="L89" s="103" t="n"/>
    </row>
    <row r="90" ht="26" customHeight="1">
      <c r="A90" s="15" t="inlineStr">
        <is>
          <t>N4-1</t>
        </is>
      </c>
      <c r="B90" s="102" t="n"/>
      <c r="C90" s="99" t="inlineStr">
        <is>
          <t>部署与运维支撑</t>
        </is>
      </c>
      <c r="D90" s="32" t="inlineStr">
        <is>
          <t>Azure DevOps连接K8s与CI/CD部署流水线</t>
        </is>
      </c>
      <c r="E90" s="32" t="inlineStr">
        <is>
          <t>Service Connection/命名空间RBAC授权、构建→镜像→部署K8s流水线（测试/生产两套）、生产环境审批门禁</t>
        </is>
      </c>
      <c r="F90" s="46" t="n"/>
      <c r="G90" s="46" t="n">
        <v>1.25</v>
      </c>
      <c r="H90" s="46" t="n">
        <v>0.5</v>
      </c>
      <c r="I90" s="46" t="n"/>
      <c r="J90" s="86" t="n">
        <v>0.5</v>
      </c>
      <c r="K90" s="46">
        <f>ROUND(SUM(F90:I90),2)</f>
        <v/>
      </c>
      <c r="L90" s="86">
        <f>ROUND(SUM(F90:I94)+J90,2)</f>
        <v/>
      </c>
    </row>
    <row r="91" ht="26" customHeight="1">
      <c r="A91" s="15" t="inlineStr">
        <is>
          <t>N4-2</t>
        </is>
      </c>
      <c r="B91" s="102" t="n"/>
      <c r="C91" s="102" t="n"/>
      <c r="D91" s="32" t="inlineStr">
        <is>
          <t>K8s发布清单与环境配置</t>
        </is>
      </c>
      <c r="E91" s="32" t="inlineStr">
        <is>
          <t>原生清单Deployment/Service/Ingress/ConfigMap+Secret（不用Helm）、测试/生产两套配置、镜像标签策略/发布Runbook</t>
        </is>
      </c>
      <c r="F91" s="46" t="n"/>
      <c r="G91" s="46" t="n">
        <v>1</v>
      </c>
      <c r="H91" s="46" t="n">
        <v>0.25</v>
      </c>
      <c r="I91" s="46" t="n"/>
      <c r="J91" s="102" t="n"/>
      <c r="K91" s="46">
        <f>ROUND(SUM(F91:I91),2)</f>
        <v/>
      </c>
      <c r="L91" s="102" t="n"/>
    </row>
    <row r="92" ht="26" customHeight="1">
      <c r="A92" s="15" t="inlineStr">
        <is>
          <t>N4-3</t>
        </is>
      </c>
      <c r="B92" s="102" t="n"/>
      <c r="C92" s="102" t="n"/>
      <c r="D92" s="32" t="inlineStr">
        <is>
          <t>测试环境先期部署</t>
        </is>
      </c>
      <c r="E92" s="32" t="inlineStr">
        <is>
          <t>早期先部署测试环境（供联调/集成/系统测试）、随迭代由流水线自动更新</t>
        </is>
      </c>
      <c r="F92" s="46" t="n"/>
      <c r="G92" s="46" t="n"/>
      <c r="H92" s="46" t="n">
        <v>0.5</v>
      </c>
      <c r="I92" s="46" t="n">
        <v>0.25</v>
      </c>
      <c r="J92" s="102" t="n"/>
      <c r="K92" s="46">
        <f>ROUND(SUM(F92:I92),2)</f>
        <v/>
      </c>
      <c r="L92" s="102" t="n"/>
    </row>
    <row r="93" ht="26" customHeight="1">
      <c r="A93" s="15" t="inlineStr">
        <is>
          <t>N4-4</t>
        </is>
      </c>
      <c r="B93" s="102" t="n"/>
      <c r="C93" s="102" t="n"/>
      <c r="D93" s="32" t="inlineStr">
        <is>
          <t>部署预演与回退预案</t>
        </is>
      </c>
      <c r="E93" s="32" t="inlineStr">
        <is>
          <t>预生产完整演练、回退验证</t>
        </is>
      </c>
      <c r="F93" s="46" t="n"/>
      <c r="G93" s="46" t="n"/>
      <c r="H93" s="46" t="n">
        <v>0.5</v>
      </c>
      <c r="I93" s="46" t="n"/>
      <c r="J93" s="102" t="n"/>
      <c r="K93" s="46">
        <f>ROUND(SUM(F93:I93),2)</f>
        <v/>
      </c>
      <c r="L93" s="102" t="n"/>
    </row>
    <row r="94" ht="26" customHeight="1">
      <c r="A94" s="15" t="inlineStr">
        <is>
          <t>N4-5</t>
        </is>
      </c>
      <c r="B94" s="102" t="n"/>
      <c r="C94" s="103" t="n"/>
      <c r="D94" s="32" t="inlineStr">
        <is>
          <t>上线值守与运维交接</t>
        </is>
      </c>
      <c r="E94" s="32" t="inlineStr">
        <is>
          <t>上线窗口值守、运维交接与培训材料</t>
        </is>
      </c>
      <c r="F94" s="46" t="n"/>
      <c r="G94" s="46" t="n">
        <v>1</v>
      </c>
      <c r="H94" s="46" t="n">
        <v>0.25</v>
      </c>
      <c r="I94" s="46" t="n"/>
      <c r="J94" s="103" t="n"/>
      <c r="K94" s="46">
        <f>ROUND(SUM(F94:I94),2)</f>
        <v/>
      </c>
      <c r="L94" s="103" t="n"/>
    </row>
    <row r="95" ht="26" customHeight="1">
      <c r="A95" s="15" t="inlineStr">
        <is>
          <t>N5-1</t>
        </is>
      </c>
      <c r="B95" s="102" t="n"/>
      <c r="C95" s="99" t="inlineStr">
        <is>
          <t>开发侧文档（架构/设计/接口）</t>
        </is>
      </c>
      <c r="D95" s="32" t="inlineStr">
        <is>
          <t>架构与总体设计文档</t>
        </is>
      </c>
      <c r="E95" s="32" t="inlineStr">
        <is>
          <t>架构图/部署视图/ADR汇编成文（Wade提供）</t>
        </is>
      </c>
      <c r="F95" s="46" t="n"/>
      <c r="G95" s="46" t="n">
        <v>1.5</v>
      </c>
      <c r="H95" s="46" t="n"/>
      <c r="I95" s="46" t="n"/>
      <c r="J95" s="86" t="n">
        <v>0.5</v>
      </c>
      <c r="K95" s="46">
        <f>ROUND(SUM(F95:I95),2)</f>
        <v/>
      </c>
      <c r="L95" s="86">
        <f>ROUND(SUM(F95:I97)+J95,2)</f>
        <v/>
      </c>
    </row>
    <row r="96" ht="26" customHeight="1">
      <c r="A96" s="15" t="inlineStr">
        <is>
          <t>N5-2</t>
        </is>
      </c>
      <c r="B96" s="102" t="n"/>
      <c r="C96" s="102" t="n"/>
      <c r="D96" s="32" t="inlineStr">
        <is>
          <t>应用接口与模块设计文档</t>
        </is>
      </c>
      <c r="E96" s="32" t="inlineStr">
        <is>
          <t>OpenAPI导出+模块设计说明（Wade提供）</t>
        </is>
      </c>
      <c r="F96" s="46" t="n"/>
      <c r="G96" s="46" t="n">
        <v>1</v>
      </c>
      <c r="H96" s="46" t="n"/>
      <c r="I96" s="46" t="n"/>
      <c r="J96" s="102" t="n"/>
      <c r="K96" s="46">
        <f>ROUND(SUM(F96:I96),2)</f>
        <v/>
      </c>
      <c r="L96" s="102" t="n"/>
    </row>
    <row r="97" ht="26" customHeight="1">
      <c r="A97" s="15" t="inlineStr">
        <is>
          <t>N5-3</t>
        </is>
      </c>
      <c r="B97" s="103" t="n"/>
      <c r="C97" s="103" t="n"/>
      <c r="D97" s="32" t="inlineStr">
        <is>
          <t>数据设计与ETL/作业文档</t>
        </is>
      </c>
      <c r="E97" s="32" t="inlineStr">
        <is>
          <t>分层设计/数据字典/ETL与作业说明（DevB提供）</t>
        </is>
      </c>
      <c r="F97" s="46" t="n"/>
      <c r="G97" s="46" t="n"/>
      <c r="H97" s="46" t="n">
        <v>1.5</v>
      </c>
      <c r="I97" s="46" t="n"/>
      <c r="J97" s="103" t="n"/>
      <c r="K97" s="46">
        <f>ROUND(SUM(F97:I97),2)</f>
        <v/>
      </c>
      <c r="L97" s="103" t="n"/>
    </row>
    <row r="98">
      <c r="A98" s="8" t="inlineStr"/>
      <c r="B98" s="8" t="inlineStr">
        <is>
          <t>总计</t>
        </is>
      </c>
      <c r="C98" s="8" t="inlineStr"/>
      <c r="D98" s="93" t="inlineStr">
        <is>
          <t>25项功能×72子任务 + 非功能工程×23子任务（F04-04=Azure原生能力，不计开发）</t>
        </is>
      </c>
      <c r="E98" s="93" t="inlineStr">
        <is>
          <t>独立直估（另含少量需求/PM等工作未列入本表）</t>
        </is>
      </c>
      <c r="F98" s="44">
        <f>ROUND(SUM(F3:F97),2)</f>
        <v/>
      </c>
      <c r="G98" s="44">
        <f>ROUND(SUM(G3:G97),2)</f>
        <v/>
      </c>
      <c r="H98" s="44">
        <f>ROUND(SUM(H3:H97),2)</f>
        <v/>
      </c>
      <c r="I98" s="44">
        <f>ROUND(SUM(I3:I97),2)</f>
        <v/>
      </c>
      <c r="J98" s="44">
        <f>ROUND(SUM(J3:J97),2)</f>
        <v/>
      </c>
      <c r="K98" s="44">
        <f>ROUND(SUM(F98:J98),2)</f>
        <v/>
      </c>
      <c r="L98" s="8" t="inlineStr"/>
    </row>
    <row r="100" ht="56" customHeight="1">
      <c r="A100" s="94" t="inlineStr">
        <is>
          <t>对照说明（四个口径）：① 功能直估 155.5 人天（BA 12.25 / Wade 40.75 / DevB 56.25 / 测试 34.25 / SLC 12.0）——已按配置界面/动态表单复杂度上调前端工作量；② 非功能与工程支撑直估 40.0 人天（N1初始化与基座/N2 ESLint·SonarLint·SAST·依赖治理/N3性能·鉴权掩码·可观测·容量/N4部署运维）；③ 已识别原生组件能力（按配置+验证计价，子任务标注【原生】/【中间件】）：ADLS SSE/CMK加密、ADLS GRS异地冗余、Key Vault密钥管理、SQL DB PITR备份与Monitor告警、Entra ID+MSAL单点登录、App Insights/Log Analytics可观测性、Unity Catalog授权、Azure DevOps扫描门禁；④ 合计 195.5 人天为「功能+非功能工程」直估（需求/设计/CC迁移演练/系统测试/UAT/上线等环节约102人天另计，见WBS分解V2.0）；Wade 60.0 / DevB 70.5（超原计划60约10.5）／Mandy三职 65.0（BA 12.5 + 测试 38.75 + SLC 13.75，超原计划50约15.0）——V2.1已按本表排期：直估297.5×AI执行系数=214.3人天/73工作日，交付2026/12/31（见下方V2.1行与WBS分解）。</t>
        </is>
      </c>
    </row>
    <row r="102" ht="16" customHeight="1">
      <c r="A102" s="114" t="inlineStr">
        <is>
          <t>AI Native提效折算对照（角色级粗折算参考，V2.1实际采用更细的按行AI执行系数排期）：</t>
        </is>
      </c>
    </row>
    <row r="103" ht="16" customHeight="1">
      <c r="A103" s="115" t="inlineStr">
        <is>
          <t>· Mandy：直估 65.0（BA 12.5 + 测试 38.75 + SLC 13.75，SLC已按功能级预估且开发侧文档移至N5）→ 测试×0.65（AI生成用例+人工审校执行）、SLC×0.8（合稿评审）、BA不折减 → ≈48.69（≈原计划50）</t>
        </is>
      </c>
    </row>
    <row r="104" ht="16" customHeight="1">
      <c r="A104" s="115" t="inlineStr">
        <is>
          <t>· Wade：直估 60.0（含N5开发侧文档2.5）≈ 原计划60，基本持平</t>
        </is>
      </c>
    </row>
    <row r="105" ht="16" customHeight="1">
      <c r="A105" s="115" t="inlineStr">
        <is>
          <t>· DevB：直估 70.5 → ETL/SQL/作业配置AI生成×0.85 → ≈59.92（≈原计划60；最大风险假设：AI生成ETL需有效落地，纳入风险跟踪）</t>
        </is>
      </c>
    </row>
    <row r="106" ht="16" customHeight="1">
      <c r="A106" s="115" t="inlineStr">
        <is>
          <t>· 合计：直估 195.5 → 折算 ≈168.61 + PM 15 = 183.61 ≤ 185，余 ≈1.39 人天缓冲；实际排期见WBS分解V2.1（更细粒度：按行系数+测试左移+瓶颈迁移，交付2026/12/31）</t>
        </is>
      </c>
    </row>
    <row r="108" ht="16" customHeight="1">
      <c r="A108" s="116" t="inlineStr">
        <is>
          <t>工作量合理性复查（逐项过检·不以计划170/185反推）：</t>
        </is>
      </c>
    </row>
    <row r="109" ht="16" customHeight="1">
      <c r="A109" s="117" t="inlineStr">
        <is>
          <t>· 日历容量：9/14~12/16 共62个工作日/人（已扣国庆10/1-7、中秋9/25、全部周末；另有备用赶工日9/20、10/10两个）。</t>
        </is>
      </c>
    </row>
    <row r="110" ht="45" customHeight="1">
      <c r="A110" s="117" t="inlineStr">
        <is>
          <t>· 逐项过检：95子任务全部复核，修正7处——上调4处（SeaTunnel导入作业D2→2.5、处置引擎D2.5→3、预览服务D1.5→2、ADO连接K8s与部署流水线1.25→2：按分片断点续传/物理清除/多格式转换/双环境流水线的实际工序估）；下调3处（原系统档案录入W1.5→1、角色管理界面W2→1.5、数据设计文档D2→1.5：AI生成CRUD组件与成文足够覆盖）；其余项维持——CRUD/配置类AI直估可完成、原生组件已按配置+验证计价；WBS侧关键单点复核（CI/CD搭建4人天、CC迁移演练10.5人天、系统测试全量2人天）均可完成。</t>
        </is>
      </c>
    </row>
    <row r="111" ht="30" customHeight="1">
      <c r="A111" s="117" t="inlineStr">
        <is>
          <t>· 人×日历匹配（拆解直估÷62，仅本表口径）：Wade 60.0＝97%；DevB 70.5＝114%⚠超出日历8.5人天；Mandy三职直估65.0＝105%（折算≈48.69＝79%）；PM Mark 15。全口径（含环节102人天，见WBS分解V2.0）：Wade 80.5／DevB 104／Mandy 98，窗口134工作日/人，均可容纳。</t>
        </is>
      </c>
    </row>
    <row r="112" ht="30" customHeight="1">
      <c r="A112" s="117" t="inlineStr">
        <is>
          <t>· 可完成性结论（V2.1已排定）：直估297.5经AI执行系数折算+并行化（测试左移/SLC滚动/治理持续/演练并行）+瓶颈迁移（8项移Wade）后=214.3人天/73工作日，交付2026/12/31；前提为AI生成有效落地（ETL/用例/文档），已纳入风险跟踪。</t>
        </is>
      </c>
    </row>
    <row r="113" ht="30" customHeight="1">
      <c r="A113" s="117" t="inlineStr">
        <is>
          <t>· B计划（若选择压回12/16且提效不达标时的按序降级清单）：F01-02离线介质登记→上线后首月补充；F05-05预览降级为PDF/图片两类（Office转换延后）；F03-01 VACUUM物理清除→上线后首个运维窗口执行。</t>
        </is>
      </c>
    </row>
    <row r="114" ht="45" customHeight="1">
      <c r="A114" s="117" t="inlineStr">
        <is>
          <t>· V2.1执行排期（已采纳）：直估297.5×AI执行系数=214.3人天/73工作日，交付2026/12/31（M1=9/22/M2=9/30/M3=11/5/M4=12/16/M6=12/17/M5=12/25/M7=12/31）；系数按AI参与方式分档（生成×0.65/辅助×0.75/自动化×0.9/人工×1.0/测试左移×0.60）；测试左移+SLC滚动成稿+N2持续治理+CC演练并行化；DevB瓶颈经8项应用/中间件任务移Wade化解，增量接入与复盘文档移上线后。详见WBS分解V2.1。</t>
        </is>
      </c>
    </row>
  </sheetData>
  <mergeCells count="112">
    <mergeCell ref="J35:J37"/>
    <mergeCell ref="C14:C17"/>
    <mergeCell ref="L35:L37"/>
    <mergeCell ref="L44:L46"/>
    <mergeCell ref="C95:C97"/>
    <mergeCell ref="C23:C25"/>
    <mergeCell ref="C32:C34"/>
    <mergeCell ref="J59:J60"/>
    <mergeCell ref="C38:C40"/>
    <mergeCell ref="A105:L105"/>
    <mergeCell ref="B63:B74"/>
    <mergeCell ref="A113:L113"/>
    <mergeCell ref="C71:C72"/>
    <mergeCell ref="J3:J9"/>
    <mergeCell ref="L14:L17"/>
    <mergeCell ref="C18:C20"/>
    <mergeCell ref="A100:L100"/>
    <mergeCell ref="C66:C67"/>
    <mergeCell ref="J29:J31"/>
    <mergeCell ref="J47:J48"/>
    <mergeCell ref="J38:J40"/>
    <mergeCell ref="A102:L102"/>
    <mergeCell ref="C63:C65"/>
    <mergeCell ref="C41:C43"/>
    <mergeCell ref="L75:L79"/>
    <mergeCell ref="B35:B43"/>
    <mergeCell ref="C35:C37"/>
    <mergeCell ref="J71:J72"/>
    <mergeCell ref="C44:C46"/>
    <mergeCell ref="J51:J52"/>
    <mergeCell ref="J73:J74"/>
    <mergeCell ref="J95:J97"/>
    <mergeCell ref="L38:L40"/>
    <mergeCell ref="J32:J34"/>
    <mergeCell ref="J26:J28"/>
    <mergeCell ref="L66:L67"/>
    <mergeCell ref="L26:L28"/>
    <mergeCell ref="L63:L65"/>
    <mergeCell ref="L41:L43"/>
    <mergeCell ref="J10:J13"/>
    <mergeCell ref="J49:J50"/>
    <mergeCell ref="J18:J20"/>
    <mergeCell ref="A104:L104"/>
    <mergeCell ref="C47:C48"/>
    <mergeCell ref="J90:J94"/>
    <mergeCell ref="L90:L94"/>
    <mergeCell ref="A106:L106"/>
    <mergeCell ref="C51:C52"/>
    <mergeCell ref="J44:J46"/>
    <mergeCell ref="J53:J55"/>
    <mergeCell ref="L53:L55"/>
    <mergeCell ref="J21:J22"/>
    <mergeCell ref="L21:L22"/>
    <mergeCell ref="B3:B22"/>
    <mergeCell ref="C26:C28"/>
    <mergeCell ref="L3:L9"/>
    <mergeCell ref="A110:L110"/>
    <mergeCell ref="L29:L31"/>
    <mergeCell ref="C49:C50"/>
    <mergeCell ref="J14:J17"/>
    <mergeCell ref="L23:L25"/>
    <mergeCell ref="C73:C74"/>
    <mergeCell ref="C90:C94"/>
    <mergeCell ref="L71:L72"/>
    <mergeCell ref="A108:L108"/>
    <mergeCell ref="L56:L58"/>
    <mergeCell ref="C59:C60"/>
    <mergeCell ref="C53:C55"/>
    <mergeCell ref="J56:J58"/>
    <mergeCell ref="B75:B97"/>
    <mergeCell ref="C21:C22"/>
    <mergeCell ref="C68:C70"/>
    <mergeCell ref="L80:L84"/>
    <mergeCell ref="L10:L13"/>
    <mergeCell ref="J66:J67"/>
    <mergeCell ref="A112:L112"/>
    <mergeCell ref="B56:B62"/>
    <mergeCell ref="C29:C31"/>
    <mergeCell ref="L59:L60"/>
    <mergeCell ref="A114:L114"/>
    <mergeCell ref="J61:J62"/>
    <mergeCell ref="J68:J70"/>
    <mergeCell ref="L61:L62"/>
    <mergeCell ref="L68:L70"/>
    <mergeCell ref="C56:C58"/>
    <mergeCell ref="L47:L48"/>
    <mergeCell ref="J85:J89"/>
    <mergeCell ref="L85:L89"/>
    <mergeCell ref="C10:C13"/>
    <mergeCell ref="J75:J79"/>
    <mergeCell ref="L73:L74"/>
    <mergeCell ref="L95:L97"/>
    <mergeCell ref="B29:B34"/>
    <mergeCell ref="J23:J25"/>
    <mergeCell ref="B23:B28"/>
    <mergeCell ref="A109:L109"/>
    <mergeCell ref="L32:L34"/>
    <mergeCell ref="C61:C62"/>
    <mergeCell ref="L51:L52"/>
    <mergeCell ref="C3:C9"/>
    <mergeCell ref="A111:L111"/>
    <mergeCell ref="L49:L50"/>
    <mergeCell ref="J41:J43"/>
    <mergeCell ref="L18:L20"/>
    <mergeCell ref="B44:B55"/>
    <mergeCell ref="C80:C84"/>
    <mergeCell ref="A1:L1"/>
    <mergeCell ref="A103:L103"/>
    <mergeCell ref="C85:C89"/>
    <mergeCell ref="J80:J84"/>
    <mergeCell ref="J63:J65"/>
    <mergeCell ref="C75:C7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8" customWidth="1" min="3" max="3"/>
    <col width="34" customWidth="1" min="4" max="4"/>
    <col width="52" customWidth="1" min="5" max="5"/>
    <col width="14" customWidth="1" min="6" max="6"/>
  </cols>
  <sheetData>
    <row r="1" ht="26" customHeight="1">
      <c r="A1" s="140" t="inlineStr">
        <is>
          <t>里程碑计划（M1~M7 · V2.0直估重排 · 全部避开周末与假期 · 窗口至 2026/12/31）</t>
        </is>
      </c>
    </row>
    <row r="2">
      <c r="A2" s="119" t="inlineStr">
        <is>
          <t>里程碑</t>
        </is>
      </c>
      <c r="B2" s="119" t="inlineStr">
        <is>
          <t>日期</t>
        </is>
      </c>
      <c r="C2" s="119" t="inlineStr">
        <is>
          <t>星期</t>
        </is>
      </c>
      <c r="D2" s="119" t="inlineStr">
        <is>
          <t>交付物/成果</t>
        </is>
      </c>
      <c r="E2" s="119" t="inlineStr">
        <is>
          <t>退出条件（验收标准）</t>
        </is>
      </c>
      <c r="F2" s="119" t="inlineStr">
        <is>
          <t>责任人</t>
        </is>
      </c>
    </row>
    <row r="3" ht="30" customHeight="1">
      <c r="A3" s="141" t="inlineStr">
        <is>
          <t>M1 需求基线冻结</t>
        </is>
      </c>
      <c r="B3" s="142" t="inlineStr">
        <is>
          <t>2026/09/22（周二）</t>
        </is>
      </c>
      <c r="C3" s="142" t="inlineStr">
        <is>
          <t>周二</t>
        </is>
      </c>
      <c r="D3" s="143" t="inlineStr">
        <is>
          <t>SRS V1.0、基线确认单</t>
        </is>
      </c>
      <c r="E3" s="143" t="inlineStr">
        <is>
          <t>SRS评审通过、业务方签字；26项优先级锁定；追踪矩阵建立（SRS含NFR基线）</t>
        </is>
      </c>
      <c r="F3" s="142" t="inlineStr">
        <is>
          <t>Mandy</t>
        </is>
      </c>
    </row>
    <row r="4" ht="30" customHeight="1">
      <c r="A4" s="141" t="inlineStr">
        <is>
          <t>M2 设计评审通过+接口冻结</t>
        </is>
      </c>
      <c r="B4" s="142" t="inlineStr">
        <is>
          <t>2026/09/30（周三）</t>
        </is>
      </c>
      <c r="C4" s="142" t="inlineStr">
        <is>
          <t>周三</t>
        </is>
      </c>
      <c r="D4" s="143" t="inlineStr">
        <is>
          <t>架构设计文档V1.0、接口定义、数据字典v1</t>
        </is>
      </c>
      <c r="E4" s="143" t="inlineStr">
        <is>
          <t>设计评审（含外部架构评审#1意见闭环）通过；模块接口冻结</t>
        </is>
      </c>
      <c r="F4" s="142" t="inlineStr">
        <is>
          <t>Wade</t>
        </is>
      </c>
    </row>
    <row r="5" ht="30" customHeight="1">
      <c r="A5" s="141" t="inlineStr">
        <is>
          <t>M3 样本数据端到端MVP</t>
        </is>
      </c>
      <c r="B5" s="142" t="inlineStr">
        <is>
          <t>2026/11/05（周四）</t>
        </is>
      </c>
      <c r="C5" s="142" t="inlineStr">
        <is>
          <t>周四</t>
        </is>
      </c>
      <c r="D5" s="143" t="inlineStr">
        <is>
          <t>M3演示记录（登录→导入→湖仓四层→任务界面可视）</t>
        </is>
      </c>
      <c r="E5" s="143" t="inlineStr">
        <is>
          <t>测试环境（K8s）先期部署就绪；批次1功能（F08/F01/F02）全链路演示通过；CI/CD四道门禁+部署流水线自动</t>
        </is>
      </c>
      <c r="F5" s="142" t="inlineStr">
        <is>
          <t>Wade+DevB</t>
        </is>
      </c>
    </row>
    <row r="6" ht="30" customHeight="1">
      <c r="A6" s="141" t="inlineStr">
        <is>
          <t>M4 26项功能编码完成</t>
        </is>
      </c>
      <c r="B6" s="142" t="inlineStr">
        <is>
          <t>2026/12/16（周三）</t>
        </is>
      </c>
      <c r="C6" s="142" t="inlineStr">
        <is>
          <t>周三</t>
        </is>
      </c>
      <c r="D6" s="143" t="inlineStr">
        <is>
          <t>走查签字单、追踪矩阵26/26</t>
        </is>
      </c>
      <c r="E6" s="143" t="inlineStr">
        <is>
          <t>26项功能编码100%（含N3全局非功能）；各功能测试与走查全部签字；无P0缺陷</t>
        </is>
      </c>
      <c r="F6" s="142" t="inlineStr">
        <is>
          <t>Mandy</t>
        </is>
      </c>
    </row>
    <row r="7" ht="30" customHeight="1">
      <c r="A7" s="141" t="inlineStr">
        <is>
          <t>M5 代码冻结+CC演练对账通过</t>
        </is>
      </c>
      <c r="B7" s="142" t="inlineStr">
        <is>
          <t>2026/12/25（周五）</t>
        </is>
      </c>
      <c r="C7" s="142" t="inlineStr">
        <is>
          <t>周五</t>
        </is>
      </c>
      <c r="D7" s="143" t="inlineStr">
        <is>
          <t>全量对账报告、冻结基线、迁移Runbook</t>
        </is>
      </c>
      <c r="E7" s="143" t="inlineStr">
        <is>
          <t>CC迁移演练完成（600~800表，行数/校验和100%）；P0/P1缺陷清零；质量治理（N2）清零达标</t>
        </is>
      </c>
      <c r="F7" s="142" t="inlineStr">
        <is>
          <t>DevB</t>
        </is>
      </c>
    </row>
    <row r="8" ht="30" customHeight="1">
      <c r="A8" s="141" t="inlineStr">
        <is>
          <t>M6 系统测试+UAT签字</t>
        </is>
      </c>
      <c r="B8" s="142" t="inlineStr">
        <is>
          <t>2026/12/17（周四）</t>
        </is>
      </c>
      <c r="C8" s="142" t="inlineStr">
        <is>
          <t>周四</t>
        </is>
      </c>
      <c r="D8" s="143" t="inlineStr">
        <is>
          <t>系统测试报告、UAT报告、SLC文档V1.0</t>
        </is>
      </c>
      <c r="E8" s="143" t="inlineStr">
        <is>
          <t>全量测试26项+非功能指标达标（对照NFR基线）；业务方UAT签字；性能/安全/迁移预跑专项通过</t>
        </is>
      </c>
      <c r="F8" s="142" t="inlineStr">
        <is>
          <t>Mandy</t>
        </is>
      </c>
    </row>
    <row r="9" ht="30" customHeight="1">
      <c r="A9" s="141" t="inlineStr">
        <is>
          <t>M7 生产上线·项目交付</t>
        </is>
      </c>
      <c r="B9" s="142" t="inlineStr">
        <is>
          <t>2026/12/31（周四）</t>
        </is>
      </c>
      <c r="C9" s="142" t="inlineStr">
        <is>
          <t>周四</t>
        </is>
      </c>
      <c r="D9" s="143" t="inlineStr">
        <is>
          <t>生产系统、终版对账报告、交付确认单</t>
        </is>
      </c>
      <c r="E9" s="143" t="inlineStr">
        <is>
          <t>生产部署+CC全量迁移对账通过；核心场景业务确认；交付物归档完成</t>
        </is>
      </c>
      <c r="F9" s="142" t="inlineStr">
        <is>
          <t>全员</t>
        </is>
      </c>
    </row>
    <row r="11">
      <c r="A11" s="68" t="inlineStr">
        <is>
          <t>注：V2.1按「功能拆解估算」排期，人天=直估×AI执行系数（AI生成+人工审核×0.7／AI辅助×0.8／自动化流水线×0.9／人工主导×1.0，见J列与Q列直估对照）；DevB溢出按复查块既定路径消化（6项中间件/查询任务移Wade、增量接入移上线后首月）；交付锁定2026年内（12/30，12/31为缓冲）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10" customWidth="1" min="5" max="5"/>
    <col width="10" customWidth="1" min="6" max="6"/>
    <col width="11" customWidth="1" min="7" max="7"/>
    <col width="11" customWidth="1" min="8" max="8"/>
    <col width="8" customWidth="1" min="9" max="9"/>
    <col width="11" customWidth="1" min="10" max="10"/>
    <col width="15" customWidth="1" min="11" max="11"/>
  </cols>
  <sheetData>
    <row r="1" ht="26" customHeight="1">
      <c r="A1" s="5" t="inlineStr">
        <is>
          <t>资源负荷（人天）与排期日历</t>
        </is>
      </c>
    </row>
    <row r="2">
      <c r="A2" s="7" t="inlineStr">
        <is>
          <t>负责人</t>
        </is>
      </c>
      <c r="B2" s="7" t="inlineStr">
        <is>
          <t>P1管理</t>
        </is>
      </c>
      <c r="C2" s="7" t="inlineStr">
        <is>
          <t>P2需求</t>
        </is>
      </c>
      <c r="D2" s="7" t="inlineStr">
        <is>
          <t>P3设计与基座</t>
        </is>
      </c>
      <c r="E2" s="7" t="inlineStr">
        <is>
          <t>P4开发一批次1</t>
        </is>
      </c>
      <c r="F2" s="7" t="inlineStr">
        <is>
          <t>P5开发二批次2</t>
        </is>
      </c>
      <c r="G2" s="7" t="inlineStr">
        <is>
          <t>P6集成·治理·CC演练</t>
        </is>
      </c>
      <c r="H2" s="7" t="inlineStr">
        <is>
          <t>P7测试UAT与就绪</t>
        </is>
      </c>
      <c r="I2" s="7" t="inlineStr">
        <is>
          <t>P8上线</t>
        </is>
      </c>
      <c r="J2" s="7" t="inlineStr">
        <is>
          <t>合计</t>
        </is>
      </c>
      <c r="K2" s="7" t="inlineStr">
        <is>
          <t>可用工作日</t>
        </is>
      </c>
      <c r="L2" s="7" t="inlineStr">
        <is>
          <t>负荷率/说明</t>
        </is>
      </c>
    </row>
    <row r="3">
      <c r="A3" s="36" t="inlineStr">
        <is>
          <t>Mark</t>
        </is>
      </c>
      <c r="B3" s="46">
        <f>IF(ROUND(SUMPRODUCT(('WBS分解'!$C$4:$C$347=3)*('WBS分解'!$E$4:$E$347="Mark")*(LEFT('WBS分解'!$A$4:$A$347,1)="1")*'WBS分解'!$I$4:$I$347),2)=0,"",ROUND(SUMPRODUCT(('WBS分解'!$C$4:$C$347=3)*('WBS分解'!$E$4:$E$347="Mark")*(LEFT('WBS分解'!$A$4:$A$347,1)="1")*'WBS分解'!$I$4:$I$347),2))</f>
        <v/>
      </c>
      <c r="C3" s="46">
        <f>IF(ROUND(SUMPRODUCT(('WBS分解'!$C$4:$C$347=3)*('WBS分解'!$E$4:$E$347="Mark")*(LEFT('WBS分解'!$A$4:$A$347,1)="2")*'WBS分解'!$I$4:$I$347),2)=0,"",ROUND(SUMPRODUCT(('WBS分解'!$C$4:$C$347=3)*('WBS分解'!$E$4:$E$347="Mark")*(LEFT('WBS分解'!$A$4:$A$347,1)="2")*'WBS分解'!$I$4:$I$347),2))</f>
        <v/>
      </c>
      <c r="D3" s="46">
        <f>IF(ROUND(SUMPRODUCT(('WBS分解'!$C$4:$C$347=3)*('WBS分解'!$E$4:$E$347="Mark")*(LEFT('WBS分解'!$A$4:$A$347,1)="3")*'WBS分解'!$I$4:$I$347),2)=0,"",ROUND(SUMPRODUCT(('WBS分解'!$C$4:$C$347=3)*('WBS分解'!$E$4:$E$347="Mark")*(LEFT('WBS分解'!$A$4:$A$347,1)="3")*'WBS分解'!$I$4:$I$347),2))</f>
        <v/>
      </c>
      <c r="E3" s="46">
        <f>IF(ROUND(SUMPRODUCT(('WBS分解'!$C$4:$C$347=3)*('WBS分解'!$E$4:$E$347="Mark")*(LEFT('WBS分解'!$A$4:$A$347,1)="4")*'WBS分解'!$I$4:$I$347),2)=0,"",ROUND(SUMPRODUCT(('WBS分解'!$C$4:$C$347=3)*('WBS分解'!$E$4:$E$347="Mark")*(LEFT('WBS分解'!$A$4:$A$347,1)="4")*'WBS分解'!$I$4:$I$347),2))</f>
        <v/>
      </c>
      <c r="F3" s="46">
        <f>IF(ROUND(SUMPRODUCT(('WBS分解'!$C$4:$C$347=3)*('WBS分解'!$E$4:$E$347="Mark")*(LEFT('WBS分解'!$A$4:$A$347,1)="5")*'WBS分解'!$I$4:$I$347),2)=0,"",ROUND(SUMPRODUCT(('WBS分解'!$C$4:$C$347=3)*('WBS分解'!$E$4:$E$347="Mark")*(LEFT('WBS分解'!$A$4:$A$347,1)="5")*'WBS分解'!$I$4:$I$347),2))</f>
        <v/>
      </c>
      <c r="G3" s="46">
        <f>IF(ROUND(SUMPRODUCT(('WBS分解'!$C$4:$C$347=3)*('WBS分解'!$E$4:$E$347="Mark")*(LEFT('WBS分解'!$A$4:$A$347,1)="6")*'WBS分解'!$I$4:$I$347),2)=0,"",ROUND(SUMPRODUCT(('WBS分解'!$C$4:$C$347=3)*('WBS分解'!$E$4:$E$347="Mark")*(LEFT('WBS分解'!$A$4:$A$347,1)="6")*'WBS分解'!$I$4:$I$347),2))</f>
        <v/>
      </c>
      <c r="H3" s="46">
        <f>IF(ROUND(SUMPRODUCT(('WBS分解'!$C$4:$C$347=3)*('WBS分解'!$E$4:$E$347="Mark")*(LEFT('WBS分解'!$A$4:$A$347,1)="7")*'WBS分解'!$I$4:$I$347),2)=0,"",ROUND(SUMPRODUCT(('WBS分解'!$C$4:$C$347=3)*('WBS分解'!$E$4:$E$347="Mark")*(LEFT('WBS分解'!$A$4:$A$347,1)="7")*'WBS分解'!$I$4:$I$347),2))</f>
        <v/>
      </c>
      <c r="I3" s="46">
        <f>IF(ROUND(SUMPRODUCT(('WBS分解'!$C$4:$C$347=3)*('WBS分解'!$E$4:$E$347="Mark")*(LEFT('WBS分解'!$A$4:$A$347,1)="8")*'WBS分解'!$I$4:$I$347),2)=0,"",ROUND(SUMPRODUCT(('WBS分解'!$C$4:$C$347=3)*('WBS分解'!$E$4:$E$347="Mark")*(LEFT('WBS分解'!$A$4:$A$347,1)="8")*'WBS分解'!$I$4:$I$347),2))</f>
        <v/>
      </c>
      <c r="J3" s="69">
        <f>ROUND(SUM(B3:I3),2)</f>
        <v/>
      </c>
      <c r="K3" t="inlineStr">
        <is>
          <t>PM排期16.4人天（直估15+冻结/就绪评审主持2×折算）；窗口73个工作日</t>
        </is>
      </c>
    </row>
    <row r="4">
      <c r="A4" s="36" t="inlineStr">
        <is>
          <t>Mandy</t>
        </is>
      </c>
      <c r="B4" s="46">
        <f>IF(ROUND(SUMPRODUCT(('WBS分解'!$C$4:$C$347=3)*('WBS分解'!$E$4:$E$347="Mandy")*(LEFT('WBS分解'!$A$4:$A$347,1)="1")*'WBS分解'!$I$4:$I$347),2)=0,"",ROUND(SUMPRODUCT(('WBS分解'!$C$4:$C$347=3)*('WBS分解'!$E$4:$E$347="Mandy")*(LEFT('WBS分解'!$A$4:$A$347,1)="1")*'WBS分解'!$I$4:$I$347),2))</f>
        <v/>
      </c>
      <c r="C4" s="46">
        <f>IF(ROUND(SUMPRODUCT(('WBS分解'!$C$4:$C$347=3)*('WBS分解'!$E$4:$E$347="Mandy")*(LEFT('WBS分解'!$A$4:$A$347,1)="2")*'WBS分解'!$I$4:$I$347),2)=0,"",ROUND(SUMPRODUCT(('WBS分解'!$C$4:$C$347=3)*('WBS分解'!$E$4:$E$347="Mandy")*(LEFT('WBS分解'!$A$4:$A$347,1)="2")*'WBS分解'!$I$4:$I$347),2))</f>
        <v/>
      </c>
      <c r="D4" s="46">
        <f>IF(ROUND(SUMPRODUCT(('WBS分解'!$C$4:$C$347=3)*('WBS分解'!$E$4:$E$347="Mandy")*(LEFT('WBS分解'!$A$4:$A$347,1)="3")*'WBS分解'!$I$4:$I$347),2)=0,"",ROUND(SUMPRODUCT(('WBS分解'!$C$4:$C$347=3)*('WBS分解'!$E$4:$E$347="Mandy")*(LEFT('WBS分解'!$A$4:$A$347,1)="3")*'WBS分解'!$I$4:$I$347),2))</f>
        <v/>
      </c>
      <c r="E4" s="46">
        <f>IF(ROUND(SUMPRODUCT(('WBS分解'!$C$4:$C$347=3)*('WBS分解'!$E$4:$E$347="Mandy")*(LEFT('WBS分解'!$A$4:$A$347,1)="4")*'WBS分解'!$I$4:$I$347),2)=0,"",ROUND(SUMPRODUCT(('WBS分解'!$C$4:$C$347=3)*('WBS分解'!$E$4:$E$347="Mandy")*(LEFT('WBS分解'!$A$4:$A$347,1)="4")*'WBS分解'!$I$4:$I$347),2))</f>
        <v/>
      </c>
      <c r="F4" s="46">
        <f>IF(ROUND(SUMPRODUCT(('WBS分解'!$C$4:$C$347=3)*('WBS分解'!$E$4:$E$347="Mandy")*(LEFT('WBS分解'!$A$4:$A$347,1)="5")*'WBS分解'!$I$4:$I$347),2)=0,"",ROUND(SUMPRODUCT(('WBS分解'!$C$4:$C$347=3)*('WBS分解'!$E$4:$E$347="Mandy")*(LEFT('WBS分解'!$A$4:$A$347,1)="5")*'WBS分解'!$I$4:$I$347),2))</f>
        <v/>
      </c>
      <c r="G4" s="46">
        <f>IF(ROUND(SUMPRODUCT(('WBS分解'!$C$4:$C$347=3)*('WBS分解'!$E$4:$E$347="Mandy")*(LEFT('WBS分解'!$A$4:$A$347,1)="6")*'WBS分解'!$I$4:$I$347),2)=0,"",ROUND(SUMPRODUCT(('WBS分解'!$C$4:$C$347=3)*('WBS分解'!$E$4:$E$347="Mandy")*(LEFT('WBS分解'!$A$4:$A$347,1)="6")*'WBS分解'!$I$4:$I$347),2))</f>
        <v/>
      </c>
      <c r="H4" s="46">
        <f>IF(ROUND(SUMPRODUCT(('WBS分解'!$C$4:$C$347=3)*('WBS分解'!$E$4:$E$347="Mandy")*(LEFT('WBS分解'!$A$4:$A$347,1)="7")*'WBS分解'!$I$4:$I$347),2)=0,"",ROUND(SUMPRODUCT(('WBS分解'!$C$4:$C$347=3)*('WBS分解'!$E$4:$E$347="Mandy")*(LEFT('WBS分解'!$A$4:$A$347,1)="7")*'WBS分解'!$I$4:$I$347),2))</f>
        <v/>
      </c>
      <c r="I4" s="46">
        <f>IF(ROUND(SUMPRODUCT(('WBS分解'!$C$4:$C$347=3)*('WBS分解'!$E$4:$E$347="Mandy")*(LEFT('WBS分解'!$A$4:$A$347,1)="8")*'WBS分解'!$I$4:$I$347),2)=0,"",ROUND(SUMPRODUCT(('WBS分解'!$C$4:$C$347=3)*('WBS分解'!$E$4:$E$347="Mandy")*(LEFT('WBS分解'!$A$4:$A$347,1)="8")*'WBS分解'!$I$4:$I$347),2))</f>
        <v/>
      </c>
      <c r="J4" s="69">
        <f>ROUND(SUM(B4:I4),2)</f>
        <v/>
      </c>
      <c r="K4" t="inlineStr">
        <is>
          <t>V2.1排期68.2人天（直估98×AI执行系数：测试左移×0.60/SLC×0.75等）；窗口73个工作日，负荷率93%</t>
        </is>
      </c>
    </row>
    <row r="5">
      <c r="A5" s="36" t="inlineStr">
        <is>
          <t>Wade</t>
        </is>
      </c>
      <c r="B5" s="46">
        <f>IF(ROUND(SUMPRODUCT(('WBS分解'!$C$4:$C$347=3)*('WBS分解'!$E$4:$E$347="Wade")*(LEFT('WBS分解'!$A$4:$A$347,1)="1")*'WBS分解'!$I$4:$I$347),2)=0,"",ROUND(SUMPRODUCT(('WBS分解'!$C$4:$C$347=3)*('WBS分解'!$E$4:$E$347="Wade")*(LEFT('WBS分解'!$A$4:$A$347,1)="1")*'WBS分解'!$I$4:$I$347),2))</f>
        <v/>
      </c>
      <c r="C5" s="46">
        <f>IF(ROUND(SUMPRODUCT(('WBS分解'!$C$4:$C$347=3)*('WBS分解'!$E$4:$E$347="Wade")*(LEFT('WBS分解'!$A$4:$A$347,1)="2")*'WBS分解'!$I$4:$I$347),2)=0,"",ROUND(SUMPRODUCT(('WBS分解'!$C$4:$C$347=3)*('WBS分解'!$E$4:$E$347="Wade")*(LEFT('WBS分解'!$A$4:$A$347,1)="2")*'WBS分解'!$I$4:$I$347),2))</f>
        <v/>
      </c>
      <c r="D5" s="46">
        <f>IF(ROUND(SUMPRODUCT(('WBS分解'!$C$4:$C$347=3)*('WBS分解'!$E$4:$E$347="Wade")*(LEFT('WBS分解'!$A$4:$A$347,1)="3")*'WBS分解'!$I$4:$I$347),2)=0,"",ROUND(SUMPRODUCT(('WBS分解'!$C$4:$C$347=3)*('WBS分解'!$E$4:$E$347="Wade")*(LEFT('WBS分解'!$A$4:$A$347,1)="3")*'WBS分解'!$I$4:$I$347),2))</f>
        <v/>
      </c>
      <c r="E5" s="46">
        <f>IF(ROUND(SUMPRODUCT(('WBS分解'!$C$4:$C$347=3)*('WBS分解'!$E$4:$E$347="Wade")*(LEFT('WBS分解'!$A$4:$A$347,1)="4")*'WBS分解'!$I$4:$I$347),2)=0,"",ROUND(SUMPRODUCT(('WBS分解'!$C$4:$C$347=3)*('WBS分解'!$E$4:$E$347="Wade")*(LEFT('WBS分解'!$A$4:$A$347,1)="4")*'WBS分解'!$I$4:$I$347),2))</f>
        <v/>
      </c>
      <c r="F5" s="46">
        <f>IF(ROUND(SUMPRODUCT(('WBS分解'!$C$4:$C$347=3)*('WBS分解'!$E$4:$E$347="Wade")*(LEFT('WBS分解'!$A$4:$A$347,1)="5")*'WBS分解'!$I$4:$I$347),2)=0,"",ROUND(SUMPRODUCT(('WBS分解'!$C$4:$C$347=3)*('WBS分解'!$E$4:$E$347="Wade")*(LEFT('WBS分解'!$A$4:$A$347,1)="5")*'WBS分解'!$I$4:$I$347),2))</f>
        <v/>
      </c>
      <c r="G5" s="46">
        <f>IF(ROUND(SUMPRODUCT(('WBS分解'!$C$4:$C$347=3)*('WBS分解'!$E$4:$E$347="Wade")*(LEFT('WBS分解'!$A$4:$A$347,1)="6")*'WBS分解'!$I$4:$I$347),2)=0,"",ROUND(SUMPRODUCT(('WBS分解'!$C$4:$C$347=3)*('WBS分解'!$E$4:$E$347="Wade")*(LEFT('WBS分解'!$A$4:$A$347,1)="6")*'WBS分解'!$I$4:$I$347),2))</f>
        <v/>
      </c>
      <c r="H5" s="46">
        <f>IF(ROUND(SUMPRODUCT(('WBS分解'!$C$4:$C$347=3)*('WBS分解'!$E$4:$E$347="Wade")*(LEFT('WBS分解'!$A$4:$A$347,1)="7")*'WBS分解'!$I$4:$I$347),2)=0,"",ROUND(SUMPRODUCT(('WBS分解'!$C$4:$C$347=3)*('WBS分解'!$E$4:$E$347="Wade")*(LEFT('WBS分解'!$A$4:$A$347,1)="7")*'WBS分解'!$I$4:$I$347),2))</f>
        <v/>
      </c>
      <c r="I5" s="46">
        <f>IF(ROUND(SUMPRODUCT(('WBS分解'!$C$4:$C$347=3)*('WBS分解'!$E$4:$E$347="Wade")*(LEFT('WBS分解'!$A$4:$A$347,1)="8")*'WBS分解'!$I$4:$I$347),2)=0,"",ROUND(SUMPRODUCT(('WBS分解'!$C$4:$C$347=3)*('WBS分解'!$E$4:$E$347="Wade")*(LEFT('WBS分解'!$A$4:$A$347,1)="8")*'WBS分解'!$I$4:$I$347),2))</f>
        <v/>
      </c>
      <c r="J5" s="69">
        <f>ROUND(SUM(B5:I5),2)</f>
        <v/>
      </c>
      <c r="K5" t="inlineStr">
        <is>
          <t>V2.1排期64.8人天（直估80.5×AI执行系数；另承接DevB瓶颈迁移的8项应用/中间件任务）；窗口73个工作日，负荷率89%</t>
        </is>
      </c>
    </row>
    <row r="6">
      <c r="A6" s="36" t="inlineStr">
        <is>
          <t>DevB</t>
        </is>
      </c>
      <c r="B6" s="46">
        <f>IF(ROUND(SUMPRODUCT(('WBS分解'!$C$4:$C$347=3)*('WBS分解'!$E$4:$E$347="DevB")*(LEFT('WBS分解'!$A$4:$A$347,1)="1")*'WBS分解'!$I$4:$I$347),2)=0,"",ROUND(SUMPRODUCT(('WBS分解'!$C$4:$C$347=3)*('WBS分解'!$E$4:$E$347="DevB")*(LEFT('WBS分解'!$A$4:$A$347,1)="1")*'WBS分解'!$I$4:$I$347),2))</f>
        <v/>
      </c>
      <c r="C6" s="46">
        <f>IF(ROUND(SUMPRODUCT(('WBS分解'!$C$4:$C$347=3)*('WBS分解'!$E$4:$E$347="DevB")*(LEFT('WBS分解'!$A$4:$A$347,1)="2")*'WBS分解'!$I$4:$I$347),2)=0,"",ROUND(SUMPRODUCT(('WBS分解'!$C$4:$C$347=3)*('WBS分解'!$E$4:$E$347="DevB")*(LEFT('WBS分解'!$A$4:$A$347,1)="2")*'WBS分解'!$I$4:$I$347),2))</f>
        <v/>
      </c>
      <c r="D6" s="46">
        <f>IF(ROUND(SUMPRODUCT(('WBS分解'!$C$4:$C$347=3)*('WBS分解'!$E$4:$E$347="DevB")*(LEFT('WBS分解'!$A$4:$A$347,1)="3")*'WBS分解'!$I$4:$I$347),2)=0,"",ROUND(SUMPRODUCT(('WBS分解'!$C$4:$C$347=3)*('WBS分解'!$E$4:$E$347="DevB")*(LEFT('WBS分解'!$A$4:$A$347,1)="3")*'WBS分解'!$I$4:$I$347),2))</f>
        <v/>
      </c>
      <c r="E6" s="46">
        <f>IF(ROUND(SUMPRODUCT(('WBS分解'!$C$4:$C$347=3)*('WBS分解'!$E$4:$E$347="DevB")*(LEFT('WBS分解'!$A$4:$A$347,1)="4")*'WBS分解'!$I$4:$I$347),2)=0,"",ROUND(SUMPRODUCT(('WBS分解'!$C$4:$C$347=3)*('WBS分解'!$E$4:$E$347="DevB")*(LEFT('WBS分解'!$A$4:$A$347,1)="4")*'WBS分解'!$I$4:$I$347),2))</f>
        <v/>
      </c>
      <c r="F6" s="46">
        <f>IF(ROUND(SUMPRODUCT(('WBS分解'!$C$4:$C$347=3)*('WBS分解'!$E$4:$E$347="DevB")*(LEFT('WBS分解'!$A$4:$A$347,1)="5")*'WBS分解'!$I$4:$I$347),2)=0,"",ROUND(SUMPRODUCT(('WBS分解'!$C$4:$C$347=3)*('WBS分解'!$E$4:$E$347="DevB")*(LEFT('WBS分解'!$A$4:$A$347,1)="5")*'WBS分解'!$I$4:$I$347),2))</f>
        <v/>
      </c>
      <c r="G6" s="46">
        <f>IF(ROUND(SUMPRODUCT(('WBS分解'!$C$4:$C$347=3)*('WBS分解'!$E$4:$E$347="DevB")*(LEFT('WBS分解'!$A$4:$A$347,1)="6")*'WBS分解'!$I$4:$I$347),2)=0,"",ROUND(SUMPRODUCT(('WBS分解'!$C$4:$C$347=3)*('WBS分解'!$E$4:$E$347="DevB")*(LEFT('WBS分解'!$A$4:$A$347,1)="6")*'WBS分解'!$I$4:$I$347),2))</f>
        <v/>
      </c>
      <c r="H6" s="46">
        <f>IF(ROUND(SUMPRODUCT(('WBS分解'!$C$4:$C$347=3)*('WBS分解'!$E$4:$E$347="DevB")*(LEFT('WBS分解'!$A$4:$A$347,1)="7")*'WBS分解'!$I$4:$I$347),2)=0,"",ROUND(SUMPRODUCT(('WBS分解'!$C$4:$C$347=3)*('WBS分解'!$E$4:$E$347="DevB")*(LEFT('WBS分解'!$A$4:$A$347,1)="7")*'WBS分解'!$I$4:$I$347),2))</f>
        <v/>
      </c>
      <c r="I6" s="46">
        <f>IF(ROUND(SUMPRODUCT(('WBS分解'!$C$4:$C$347=3)*('WBS分解'!$E$4:$E$347="DevB")*(LEFT('WBS分解'!$A$4:$A$347,1)="8")*'WBS分解'!$I$4:$I$347),2)=0,"",ROUND(SUMPRODUCT(('WBS分解'!$C$4:$C$347=3)*('WBS分解'!$E$4:$E$347="DevB")*(LEFT('WBS分解'!$A$4:$A$347,1)="8")*'WBS分解'!$I$4:$I$347),2))</f>
        <v/>
      </c>
      <c r="J6" s="69">
        <f>ROUND(SUM(B6:I6),2)</f>
        <v/>
      </c>
      <c r="K6" t="inlineStr">
        <is>
          <t>V2.1排期65.0人天（直估104×AI执行系数：ETL/SQL/作业AI生成为主）；窗口73个工作日，负荷率89%（原关键瓶颈，经迁移+折算化解）</t>
        </is>
      </c>
    </row>
    <row r="7">
      <c r="A7" s="38" t="inlineStr">
        <is>
          <t>合计</t>
        </is>
      </c>
      <c r="B7">
        <f>ROUND(SUM(B3:B6),2)</f>
        <v/>
      </c>
      <c r="C7">
        <f>ROUND(SUM(C3:C6),2)</f>
        <v/>
      </c>
      <c r="D7">
        <f>ROUND(SUM(D3:D6),2)</f>
        <v/>
      </c>
      <c r="E7">
        <f>ROUND(SUM(E3:E6),2)</f>
        <v/>
      </c>
      <c r="F7">
        <f>ROUND(SUM(F3:F6),2)</f>
        <v/>
      </c>
      <c r="G7">
        <f>ROUND(SUM(G3:G6),2)</f>
        <v/>
      </c>
      <c r="H7">
        <f>ROUND(SUM(H3:H6),2)</f>
        <v/>
      </c>
      <c r="I7">
        <f>ROUND(SUM(I3:I6),2)</f>
        <v/>
      </c>
      <c r="J7" s="70">
        <f>ROUND(SUM(J3:J6),2)</f>
        <v/>
      </c>
      <c r="K7" t="inlineStr">
        <is>
          <t>V2.1排期合计214.3人天=直估297.5×AI执行系数（AI生成×0.65/AI辅助×0.75/自动化×0.9/人工×1.0/测试左移×0.60）；DevB瓶颈经8项任务移Wade+增量接入/复盘文档移上线后化解；交付锁定2026/12/31</t>
        </is>
      </c>
    </row>
    <row r="9">
      <c r="A9" s="2" t="inlineStr">
        <is>
          <t>排期日历</t>
        </is>
      </c>
    </row>
    <row r="10" ht="28" customHeight="1">
      <c r="A10" s="38" t="inlineStr">
        <is>
          <t>项目窗口</t>
        </is>
      </c>
      <c r="B10" s="40" t="inlineStr">
        <is>
          <t>2026/9/14（周一）→ 2026/12/31（周四）交付（V2.1：直估×AI执行系数排期，不跨年；12/28~31为部署与迁移窗口）</t>
        </is>
      </c>
    </row>
    <row r="11" ht="28" customHeight="1">
      <c r="A11" s="38" t="inlineStr">
        <is>
          <t>假期扣除</t>
        </is>
      </c>
      <c r="B11" s="40" t="inlineStr">
        <is>
          <t>中秋9/25（五）；国庆10/1（四）~10/7（三）；备用赶工日9/20（日）、10/10（六）逢周末不排</t>
        </is>
      </c>
    </row>
    <row r="12" ht="28" customHeight="1">
      <c r="A12" s="38" t="inlineStr">
        <is>
          <t>周末</t>
        </is>
      </c>
      <c r="B12" s="40" t="inlineStr">
        <is>
          <t>每周六/日不排任务；官方调休补班日 9/20（日）、10/10（六）逢周末亦不排，可作备用赶工日</t>
        </is>
      </c>
    </row>
    <row r="13">
      <c r="A13" s="2" t="inlineStr">
        <is>
          <t>外部依赖（4项）</t>
        </is>
      </c>
    </row>
    <row r="14" ht="28" customHeight="1">
      <c r="A14" s="38" t="inlineStr">
        <is>
          <t>① CC只读账号</t>
        </is>
      </c>
      <c r="B14" s="40" t="inlineStr">
        <is>
          <t>9/18提交申请（3.2.3）→ 最迟11/13交付，11/16 CC迁移演练（6.2.1）依赖；责任人DevB；超承诺日3天升级管理层</t>
        </is>
      </c>
    </row>
    <row r="15" ht="28" customHeight="1">
      <c r="A15" s="38" t="inlineStr">
        <is>
          <t>② 平台资源交付</t>
        </is>
      </c>
      <c r="B15" s="40" t="inlineStr">
        <is>
          <t>ADLS/Databricks/Key Vault等，9/30验收（3.3.3）；责任人Wade</t>
        </is>
      </c>
    </row>
    <row r="16" ht="28" customHeight="1">
      <c r="A16" s="38" t="inlineStr">
        <is>
          <t>③ 业务方UAT排期</t>
        </is>
      </c>
      <c r="B16" s="40" t="inlineStr">
        <is>
          <t>11/25确认（6.3.4），12/7 UAT执行（7.1.3）；责任人Mandy</t>
        </is>
      </c>
    </row>
    <row r="17" ht="28" customHeight="1">
      <c r="A17" s="38" t="inlineStr">
        <is>
          <t>④ 生产窗口审批</t>
        </is>
      </c>
      <c r="B17" s="40" t="inlineStr">
        <is>
          <t>12/9前完成审批，12/10生产部署（8.1.1）；责任人Mark</t>
        </is>
      </c>
    </row>
    <row r="18" ht="28" customHeight="1">
      <c r="A18" s="38" t="inlineStr">
        <is>
          <t>外部评审人（风险缓解）</t>
        </is>
      </c>
      <c r="B18" s="40" t="inlineStr">
        <is>
          <t>外部架构评审#1：10/9（与M2设计评审同日）；外部关键模块评审#2：11/11（RBAC/掩码/加密/处置引擎）；每次2~4小时</t>
        </is>
      </c>
    </row>
  </sheetData>
  <mergeCells count="11">
    <mergeCell ref="B14:K14"/>
    <mergeCell ref="B11:K11"/>
    <mergeCell ref="B17:K17"/>
    <mergeCell ref="B18:K18"/>
    <mergeCell ref="B16:K16"/>
    <mergeCell ref="B12:K12"/>
    <mergeCell ref="B15:K15"/>
    <mergeCell ref="A13:K13"/>
    <mergeCell ref="B10:K10"/>
    <mergeCell ref="A1:K1"/>
    <mergeCell ref="A9:K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A6A6A6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52" customWidth="1" min="3" max="3"/>
    <col width="24" customWidth="1" min="4" max="4"/>
    <col width="34" customWidth="1" min="5" max="5"/>
    <col width="10" customWidth="1" min="6" max="6"/>
    <col width="24" customWidth="1" min="7" max="7"/>
  </cols>
  <sheetData>
    <row r="1" ht="26" customHeight="1">
      <c r="A1" s="144" t="inlineStr">
        <is>
          <t>WBS词典（关键工作包定义与验收标准）· V2.0直估重排</t>
        </is>
      </c>
    </row>
    <row r="2">
      <c r="A2" s="119" t="inlineStr">
        <is>
          <t>WBS编号</t>
        </is>
      </c>
      <c r="B2" s="119" t="inlineStr">
        <is>
          <t>任务名称</t>
        </is>
      </c>
      <c r="C2" s="119" t="inlineStr">
        <is>
          <t>工作包定义</t>
        </is>
      </c>
      <c r="D2" s="119" t="inlineStr">
        <is>
          <t>交付物</t>
        </is>
      </c>
      <c r="E2" s="119" t="inlineStr">
        <is>
          <t>验收标准</t>
        </is>
      </c>
      <c r="F2" s="119" t="inlineStr">
        <is>
          <t>负责人</t>
        </is>
      </c>
      <c r="G2" s="119" t="inlineStr">
        <is>
          <t>前置条件</t>
        </is>
      </c>
    </row>
    <row r="3" ht="40" customHeight="1">
      <c r="A3" s="135" t="inlineStr">
        <is>
          <t>1.1.1</t>
        </is>
      </c>
      <c r="B3" s="135" t="inlineStr">
        <is>
          <t>项目启动会与AI Native开发模式对齐</t>
        </is>
      </c>
      <c r="C3" s="136" t="inlineStr">
        <is>
          <t>宣布项目范围/里程碑/四道门禁规则/RACI，全员对齐AI协作规约（代码AI生成、人工审核、门禁硬卡点）。</t>
        </is>
      </c>
      <c r="D3" s="136" t="inlineStr">
        <is>
          <t>启动会纪要、RACI矩阵</t>
        </is>
      </c>
      <c r="E3" s="136" t="inlineStr">
        <is>
          <t>全员签认AI协作规约；门禁规则（不可bypass）获管理层背书</t>
        </is>
      </c>
      <c r="F3" s="135" t="inlineStr">
        <is>
          <t>Mark</t>
        </is>
      </c>
      <c r="G3" s="135" t="inlineStr">
        <is>
          <t>团队3人+PM到岗；AI工具账号就绪</t>
        </is>
      </c>
    </row>
    <row r="4" ht="40" customHeight="1">
      <c r="A4" s="135" t="inlineStr">
        <is>
          <t>2.2.2</t>
        </is>
      </c>
      <c r="B4" s="135" t="inlineStr">
        <is>
          <t>SRS评审与需求基线冻结◆M1</t>
        </is>
      </c>
      <c r="C4" s="136" t="inlineStr">
        <is>
          <t>26项功能+非功能需求（NFR）基线评审冻结，后续变更走变更流程。</t>
        </is>
      </c>
      <c r="D4" s="136" t="inlineStr">
        <is>
          <t>SRS V1.0、基线确认单</t>
        </is>
      </c>
      <c r="E4" s="136" t="inlineStr">
        <is>
          <t>业务方签字；26项优先级锁定；追踪矩阵建立</t>
        </is>
      </c>
      <c r="F4" s="135" t="inlineStr">
        <is>
          <t>Mandy</t>
        </is>
      </c>
      <c r="G4" s="135" t="inlineStr">
        <is>
          <t>访谈与澄清完成（2.1）</t>
        </is>
      </c>
    </row>
    <row r="5" ht="40" customHeight="1">
      <c r="A5" s="135" t="inlineStr">
        <is>
          <t>2.3.1</t>
        </is>
      </c>
      <c r="B5" s="135" t="inlineStr">
        <is>
          <t>NFR测试可执行化</t>
        </is>
      </c>
      <c r="C5" s="136" t="inlineStr">
        <is>
          <t>将SRS中NFR基线细化为可测验收标准：检索响应/导出吞吐/并发/越权与掩码旁路用例口径。</t>
        </is>
      </c>
      <c r="D5" s="136" t="inlineStr">
        <is>
          <t>NFR可执行化清单</t>
        </is>
      </c>
      <c r="E5" s="136" t="inlineStr">
        <is>
          <t>每项NFR均有可执行用例与达标口径</t>
        </is>
      </c>
      <c r="F5" s="135" t="inlineStr">
        <is>
          <t>Mandy</t>
        </is>
      </c>
      <c r="G5" s="135" t="inlineStr">
        <is>
          <t>M1冻结</t>
        </is>
      </c>
    </row>
    <row r="6" ht="40" customHeight="1">
      <c r="A6" s="135" t="inlineStr">
        <is>
          <t>3.2.1</t>
        </is>
      </c>
      <c r="B6" s="135" t="inlineStr">
        <is>
          <t>目标数据模型预设计</t>
        </is>
      </c>
      <c r="C6" s="136" t="inlineStr">
        <is>
          <t>RAW→CURATED→LAKE→SERVE四层表结构草案，支撑600~800表规模。</t>
        </is>
      </c>
      <c r="D6" s="136" t="inlineStr">
        <is>
          <t>四层模型草案</t>
        </is>
      </c>
      <c r="E6" s="136" t="inlineStr">
        <is>
          <t>架构组评审通过</t>
        </is>
      </c>
      <c r="F6" s="135" t="inlineStr">
        <is>
          <t>DevB</t>
        </is>
      </c>
      <c r="G6" s="135" t="inlineStr">
        <is>
          <t>SRS初稿（2.2.1）</t>
        </is>
      </c>
    </row>
    <row r="7" ht="40" customHeight="1">
      <c r="A7" s="135" t="inlineStr">
        <is>
          <t>3.2.6</t>
        </is>
      </c>
      <c r="B7" s="135" t="inlineStr">
        <is>
          <t>F01迁移方案定稿</t>
        </is>
      </c>
      <c r="C7" s="136" t="inlineStr">
        <is>
          <t>SeaTunnel配置生成器方案+四层转换规则（类型映射/清洗/分区归约）。</t>
        </is>
      </c>
      <c r="D7" s="136" t="inlineStr">
        <is>
          <t>迁移方案文档</t>
        </is>
      </c>
      <c r="E7" s="136" t="inlineStr">
        <is>
          <t>样本表走查验证方案可行</t>
        </is>
      </c>
      <c r="F7" s="135" t="inlineStr">
        <is>
          <t>DevB</t>
        </is>
      </c>
      <c r="G7" s="135" t="inlineStr">
        <is>
          <t>湖仓分层设计（3.2.4）</t>
        </is>
      </c>
    </row>
    <row r="8" ht="40" customHeight="1">
      <c r="A8" s="135" t="inlineStr">
        <is>
          <t>3.2.7</t>
        </is>
      </c>
      <c r="B8" s="135" t="inlineStr">
        <is>
          <t>F04与非功能设计定稿</t>
        </is>
      </c>
      <c r="C8" s="136" t="inlineStr">
        <is>
          <t>加密/密钥/备份灾备方案（Azure原生：SSE+CMK/Key Vault/PITR/GRS）+性能容量与「数据不出境」合规基线。</t>
        </is>
      </c>
      <c r="D8" s="136" t="inlineStr">
        <is>
          <t>非功能设计说明</t>
        </is>
      </c>
      <c r="E8" s="136" t="inlineStr">
        <is>
          <t>合规法务确认；原生组件清单落定（对照拆解估算③）</t>
        </is>
      </c>
      <c r="F8" s="135" t="inlineStr">
        <is>
          <t>DevB</t>
        </is>
      </c>
      <c r="G8" s="135" t="inlineStr">
        <is>
          <t>NFR可执行化（2.3.1）</t>
        </is>
      </c>
    </row>
    <row r="9" ht="40" customHeight="1">
      <c r="A9" s="135" t="inlineStr">
        <is>
          <t>3.1.5</t>
        </is>
      </c>
      <c r="B9" s="135" t="inlineStr">
        <is>
          <t>设计评审通过+模块接口冻结◆M2</t>
        </is>
      </c>
      <c r="C9" s="136" t="inlineStr">
        <is>
          <t>总体架构终稿+模块接口定义评审（含外部架构评审#1意见闭环），接口冻结。</t>
        </is>
      </c>
      <c r="D9" s="136" t="inlineStr">
        <is>
          <t>设计评审纪要</t>
        </is>
      </c>
      <c r="E9" s="136" t="inlineStr">
        <is>
          <t>评审通过；接口变更走变更流程</t>
        </is>
      </c>
      <c r="F9" s="135" t="inlineStr">
        <is>
          <t>Wade</t>
        </is>
      </c>
      <c r="G9" s="135" t="inlineStr">
        <is>
          <t>架构终稿+数据设计定稿</t>
        </is>
      </c>
    </row>
    <row r="10" ht="40" customHeight="1">
      <c r="A10" s="135" t="inlineStr">
        <is>
          <t>3.3.6</t>
        </is>
      </c>
      <c r="B10" s="135" t="inlineStr">
        <is>
          <t>四道安全门禁CI/CD搭建</t>
        </is>
      </c>
      <c r="C10" s="136" t="inlineStr">
        <is>
          <t>Azure DevOps流水线：构建+镜像+SAST静态扫描/依赖扫描/密钥扫描/越权与掩码旁路用例四道硬门禁，任何合入必须过门禁。</t>
        </is>
      </c>
      <c r="D10" s="136" t="inlineStr">
        <is>
          <t>CI/CD流水线（4道硬门禁）</t>
        </is>
      </c>
      <c r="E10" s="136" t="inlineStr">
        <is>
          <t>演示一次拦截样例；门禁不可bypass（含紧急发布）</t>
        </is>
      </c>
      <c r="F10" s="135" t="inlineStr">
        <is>
          <t>Wade</t>
        </is>
      </c>
      <c r="G10" s="135" t="inlineStr">
        <is>
          <t>Azure DevOps权限就绪</t>
        </is>
      </c>
    </row>
    <row r="11" ht="40" customHeight="1">
      <c r="A11" s="135" t="inlineStr">
        <is>
          <t>3.4.6</t>
        </is>
      </c>
      <c r="B11" s="135" t="inlineStr">
        <is>
          <t>测试环境先期部署（N4-3）</t>
        </is>
      </c>
      <c r="C11" s="136" t="inlineStr">
        <is>
          <t>Azure DevOps经Service Connection连接K8s（命名空间RBAC授权）后，测试环境早期先部署，供联调/集成/系统测试，随迭代由流水线自动更新；生产环境终期部署（带审批门禁），不用Helm。</t>
        </is>
      </c>
      <c r="D11" s="136" t="inlineStr">
        <is>
          <t>测试环境（K8s）</t>
        </is>
      </c>
      <c r="E11" s="136" t="inlineStr">
        <is>
          <t>测试环境可由流水线一键自动部署更新</t>
        </is>
      </c>
      <c r="F11" s="135" t="inlineStr">
        <is>
          <t>DevB</t>
        </is>
      </c>
      <c r="G11" s="135" t="inlineStr">
        <is>
          <t>部署流水线（N4-1）就绪</t>
        </is>
      </c>
    </row>
    <row r="12" ht="40" customHeight="1">
      <c r="A12" s="135" t="inlineStr">
        <is>
          <t>4.13.3</t>
        </is>
      </c>
      <c r="B12" s="135" t="inlineStr">
        <is>
          <t>样本端到端联调◆M3（批次1 MVP）</t>
        </is>
      </c>
      <c r="C12" s="136" t="inlineStr">
        <is>
          <t>登录→导入→湖仓四层落地→任务界面可视，在测试环境（K8s）做端到端演示，提前暴露分层/权限模型方向性错误。</t>
        </is>
      </c>
      <c r="D12" s="136" t="inlineStr">
        <is>
          <t>M3演示记录</t>
        </is>
      </c>
      <c r="E12" s="136" t="inlineStr">
        <is>
          <t>全链路演示通过；测试环境流水线自动部署</t>
        </is>
      </c>
      <c r="F12" s="135" t="inlineStr">
        <is>
          <t>Wade+DevB</t>
        </is>
      </c>
      <c r="G12" s="135" t="inlineStr">
        <is>
          <t>批次1（F08/F01/F02）开发完成；N4-3就绪</t>
        </is>
      </c>
    </row>
    <row r="13" ht="40" customHeight="1">
      <c r="A13" s="135" t="inlineStr">
        <is>
          <t>4.6.15</t>
        </is>
      </c>
      <c r="B13" s="135" t="inlineStr">
        <is>
          <t>SeaTunnel批量导入作业（F01-01）</t>
        </is>
      </c>
      <c r="C13" s="136" t="inlineStr">
        <is>
          <t>作业配置生成器、分片/断点续传/限速执行，600~800表规模样本验证。</t>
        </is>
      </c>
      <c r="D13" s="136" t="inlineStr">
        <is>
          <t>导入作业+样本验证记录</t>
        </is>
      </c>
      <c r="E13" s="136" t="inlineStr">
        <is>
          <t>断点续传与限速演示通过；对账口径落定</t>
        </is>
      </c>
      <c r="F13" s="135" t="inlineStr">
        <is>
          <t>DevB</t>
        </is>
      </c>
      <c r="G13" s="135" t="inlineStr">
        <is>
          <t>迁移方案定稿（3.2.6）</t>
        </is>
      </c>
    </row>
    <row r="14" ht="40" customHeight="1">
      <c r="A14" s="135" t="inlineStr">
        <is>
          <t>5.1.7</t>
        </is>
      </c>
      <c r="B14" s="135" t="inlineStr">
        <is>
          <t>F03-01 到期自动删除处置引擎</t>
        </is>
      </c>
      <c r="C14" s="136" t="inlineStr">
        <is>
          <t>到期扫描、豁免检查（Legal Hold）、DROP PARTITION、VACUUM物理清除；短保留样本全链路验证。</t>
        </is>
      </c>
      <c r="D14" s="136" t="inlineStr">
        <is>
          <t>处置引擎+演练记录</t>
        </is>
      </c>
      <c r="E14" s="136" t="inlineStr">
        <is>
          <t>处置链路（扫描→删除→留痕）演示通过</t>
        </is>
      </c>
      <c r="F14" s="135" t="inlineStr">
        <is>
          <t>DevB</t>
        </is>
      </c>
      <c r="G14" s="135" t="inlineStr">
        <is>
          <t>保留策略配置（BA行）完成</t>
        </is>
      </c>
    </row>
    <row r="15" ht="40" customHeight="1">
      <c r="A15" s="135" t="inlineStr">
        <is>
          <t>6.3.1</t>
        </is>
      </c>
      <c r="B15" s="135" t="inlineStr">
        <is>
          <t>CC真实数据迁移演练I</t>
        </is>
      </c>
      <c r="C15" s="136" t="inlineStr">
        <is>
          <t>1253表扫描分类→600~800有效表分批迁移启动（关键路径）。</t>
        </is>
      </c>
      <c r="D15" s="136" t="inlineStr">
        <is>
          <t>迁移批次台账</t>
        </is>
      </c>
      <c r="E15" s="136" t="inlineStr">
        <is>
          <t>分批迁移按计划推进；无阻断性问题</t>
        </is>
      </c>
      <c r="F15" s="135" t="inlineStr">
        <is>
          <t>DevB</t>
        </is>
      </c>
      <c r="G15" s="135" t="inlineStr">
        <is>
          <t>M4编码完成</t>
        </is>
      </c>
    </row>
    <row r="16" ht="40" customHeight="1">
      <c r="A16" s="135" t="inlineStr">
        <is>
          <t>6.3.3</t>
        </is>
      </c>
      <c r="B16" s="135" t="inlineStr">
        <is>
          <t>CC全量对账报告</t>
        </is>
      </c>
      <c r="C16" s="136" t="inlineStr">
        <is>
          <t>四层行数与字节+差异处理记录。</t>
        </is>
      </c>
      <c r="D16" s="136" t="inlineStr">
        <is>
          <t>全量对账报告</t>
        </is>
      </c>
      <c r="E16" s="136" t="inlineStr">
        <is>
          <t>行数/校验和100%对平或差异闭环</t>
        </is>
      </c>
      <c r="F16" s="135" t="inlineStr">
        <is>
          <t>DevB</t>
        </is>
      </c>
      <c r="G16" s="135" t="inlineStr">
        <is>
          <t>迁移演练II完成</t>
        </is>
      </c>
    </row>
    <row r="17" ht="40" customHeight="1">
      <c r="A17" s="135" t="inlineStr">
        <is>
          <t>5.15.2</t>
        </is>
      </c>
      <c r="B17" s="135" t="inlineStr">
        <is>
          <t>26项功能编码完成+走查签字◆M4</t>
        </is>
      </c>
      <c r="C17" s="136" t="inlineStr">
        <is>
          <t>批次1+批次2全部功能与N3全局非功能完成，功能测试与走查签字。</t>
        </is>
      </c>
      <c r="D17" s="136" t="inlineStr">
        <is>
          <t>走查签字单、追踪矩阵26/26</t>
        </is>
      </c>
      <c r="E17" s="136" t="inlineStr">
        <is>
          <t>编码100%；无P0缺陷</t>
        </is>
      </c>
      <c r="F17" s="135" t="inlineStr">
        <is>
          <t>Mandy</t>
        </is>
      </c>
      <c r="G17" s="135" t="inlineStr">
        <is>
          <t>批次2测试+完整性核对完成</t>
        </is>
      </c>
    </row>
    <row r="18" ht="40" customHeight="1">
      <c r="A18" s="135" t="inlineStr">
        <is>
          <t>7.1.3</t>
        </is>
      </c>
      <c r="B18" s="135" t="inlineStr">
        <is>
          <t>UAT组织与主持◆M6</t>
        </is>
      </c>
      <c r="C18" s="136" t="inlineStr">
        <is>
          <t>业务方按CC场景验收。</t>
        </is>
      </c>
      <c r="D18" s="136" t="inlineStr">
        <is>
          <t>UAT报告、业务方签字</t>
        </is>
      </c>
      <c r="E18" s="136" t="inlineStr">
        <is>
          <t>UAT签字；遗留缺陷书面接受</t>
        </is>
      </c>
      <c r="F18" s="135" t="inlineStr">
        <is>
          <t>Mandy</t>
        </is>
      </c>
      <c r="G18" s="135" t="inlineStr">
        <is>
          <t>全量测试+专项通过</t>
        </is>
      </c>
    </row>
    <row r="19" ht="40" customHeight="1">
      <c r="A19" s="135" t="inlineStr">
        <is>
          <t>7.2.8</t>
        </is>
      </c>
      <c r="B19" s="135" t="inlineStr">
        <is>
          <t>生产就绪评审</t>
        </is>
      </c>
      <c r="C19" s="136" t="inlineStr">
        <is>
          <t>Runbook/配置/回退/NFR达标确认（含N4-4部署预演与迁移预跑结论）。</t>
        </is>
      </c>
      <c r="D19" s="136" t="inlineStr">
        <is>
          <t>就绪评审清单</t>
        </is>
      </c>
      <c r="E19" s="136" t="inlineStr">
        <is>
          <t>评审通过方可部署</t>
        </is>
      </c>
      <c r="F19" s="135" t="inlineStr">
        <is>
          <t>Wade</t>
        </is>
      </c>
      <c r="G19" s="135" t="inlineStr">
        <is>
          <t>UAT（M6）+部署预演完成</t>
        </is>
      </c>
    </row>
    <row r="20" ht="40" customHeight="1">
      <c r="A20" s="135" t="inlineStr">
        <is>
          <t>8.1.3</t>
        </is>
      </c>
      <c r="B20" s="135" t="inlineStr">
        <is>
          <t>CC生产全量迁移</t>
        </is>
      </c>
      <c r="C20" s="136" t="inlineStr">
        <is>
          <t>生产环境分批执行600~800表全量迁移+终版对账，作业自动化执行、人工值守。</t>
        </is>
      </c>
      <c r="D20" s="136" t="inlineStr">
        <is>
          <t>终版对账报告</t>
        </is>
      </c>
      <c r="E20" s="136" t="inlineStr">
        <is>
          <t>对账100%；业务核心场景确认</t>
        </is>
      </c>
      <c r="F20" s="135" t="inlineStr">
        <is>
          <t>DevB</t>
        </is>
      </c>
      <c r="G20" s="135" t="inlineStr">
        <is>
          <t>生产部署（8.1.1）完成</t>
        </is>
      </c>
    </row>
    <row r="21" ht="40" customHeight="1">
      <c r="A21" s="135" t="inlineStr">
        <is>
          <t>8.2.8</t>
        </is>
      </c>
      <c r="B21" s="135" t="inlineStr">
        <is>
          <t>生产上线成功·项目交付完成◆M7</t>
        </is>
      </c>
      <c r="C21" s="136" t="inlineStr">
        <is>
          <t>交付确认与总结会。</t>
        </is>
      </c>
      <c r="D21" s="136" t="inlineStr">
        <is>
          <t>交付确认单</t>
        </is>
      </c>
      <c r="E21" s="136" t="inlineStr">
        <is>
          <t>交付物归档完成；复盘文档定稿</t>
        </is>
      </c>
      <c r="F21" s="135" t="inlineStr">
        <is>
          <t>全员</t>
        </is>
      </c>
      <c r="G21" s="135" t="inlineStr">
        <is>
          <t>8.1生产部署与迁移完成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D7D31"/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6" customWidth="1" min="3" max="3"/>
  </cols>
  <sheetData>
    <row r="1" ht="26" customHeight="1">
      <c r="A1" s="5" t="inlineStr">
        <is>
          <t>项目进度汇总（自动统计）</t>
        </is>
      </c>
    </row>
    <row r="2">
      <c r="A2" s="7" t="inlineStr">
        <is>
          <t>统计项</t>
        </is>
      </c>
      <c r="B2" s="7" t="inlineStr">
        <is>
          <t>数值</t>
        </is>
      </c>
      <c r="C2" s="7" t="inlineStr">
        <is>
          <t>说明</t>
        </is>
      </c>
    </row>
    <row r="3">
      <c r="A3" s="17" t="inlineStr">
        <is>
          <t>任务总数（含各级汇总行）</t>
        </is>
      </c>
      <c r="B3" s="15">
        <f>COUNTA('WBS分解'!$A$4:$A$343)</f>
        <v/>
      </c>
      <c r="C3" s="17" t="inlineStr">
        <is>
          <t>按已填写WBS编号的行数统计</t>
        </is>
      </c>
    </row>
    <row r="4">
      <c r="A4" s="17" t="inlineStr">
        <is>
          <t>其中：一级任务数</t>
        </is>
      </c>
      <c r="B4" s="15">
        <f>COUNTIF('WBS分解'!$C$4:$C$343,1)</f>
        <v/>
      </c>
      <c r="C4" s="17" t="inlineStr">
        <is>
          <t>层级=1 的行数</t>
        </is>
      </c>
    </row>
    <row r="5">
      <c r="A5" s="17" t="inlineStr">
        <is>
          <t>其中：工作包数（三级）</t>
        </is>
      </c>
      <c r="B5" s="15">
        <f>COUNTIF('WBS分解'!$C$4:$C$343,3)</f>
        <v/>
      </c>
      <c r="C5" s="17" t="inlineStr">
        <is>
          <t>层级=3 的行数</t>
        </is>
      </c>
    </row>
    <row r="6">
      <c r="A6" s="17" t="inlineStr">
        <is>
          <t>已完成</t>
        </is>
      </c>
      <c r="B6" s="15">
        <f>COUNTIF('WBS分解'!$L$4:$L$343,"已完成")</f>
        <v/>
      </c>
      <c r="C6" s="17" t="inlineStr"/>
    </row>
    <row r="7">
      <c r="A7" s="17" t="inlineStr">
        <is>
          <t>进行中</t>
        </is>
      </c>
      <c r="B7" s="15">
        <f>COUNTIF('WBS分解'!$L$4:$L$343,"进行中")</f>
        <v/>
      </c>
      <c r="C7" s="17" t="inlineStr"/>
    </row>
    <row r="8">
      <c r="A8" s="17" t="inlineStr">
        <is>
          <t>未开始</t>
        </is>
      </c>
      <c r="B8" s="15">
        <f>COUNTIF('WBS分解'!$L$4:$L$343,"未开始")</f>
        <v/>
      </c>
      <c r="C8" s="17" t="inlineStr"/>
    </row>
    <row r="9">
      <c r="A9" s="17" t="inlineStr">
        <is>
          <t>已延期</t>
        </is>
      </c>
      <c r="B9" s="15">
        <f>COUNTIF('WBS分解'!$L$4:$L$343,"已延期")</f>
        <v/>
      </c>
      <c r="C9" s="17" t="inlineStr"/>
    </row>
    <row r="10">
      <c r="A10" s="17" t="inlineStr">
        <is>
          <t>任务完成率</t>
        </is>
      </c>
      <c r="B10" s="71">
        <f>IFERROR(COUNTIF('WBS分解'!$L$4:$L$343,"已完成")/COUNTA('WBS分解'!$A$4:$A$343),0)</f>
        <v/>
      </c>
      <c r="C10" s="17" t="inlineStr">
        <is>
          <t>已完成 ÷ 任务总数</t>
        </is>
      </c>
    </row>
    <row r="11">
      <c r="A11" s="17" t="inlineStr">
        <is>
          <t>整体平均进度</t>
        </is>
      </c>
      <c r="B11" s="71">
        <f>AVERAGE('WBS分解'!$M$4:$M$343)</f>
        <v/>
      </c>
      <c r="C11" s="17" t="inlineStr">
        <is>
          <t>对进度列简单平均</t>
        </is>
      </c>
    </row>
    <row r="12">
      <c r="A12" s="17" t="inlineStr">
        <is>
          <t>工作量合计（人天·仅三级工作包）</t>
        </is>
      </c>
      <c r="B12" s="46">
        <f>SUMPRODUCT(('WBS分解'!$C$4:$C$343=3)*'WBS分解'!$I$4:$I$343)</f>
        <v/>
      </c>
      <c r="C12" s="17" t="inlineStr">
        <is>
          <t>Mark 16.4 / Mandy 68.2 / Wade 64.8 / DevB 65.0（V2.1排期口径，合计214.3=直估297.5×AI执行系数）</t>
        </is>
      </c>
    </row>
    <row r="13">
      <c r="A13" s="17" t="inlineStr">
        <is>
          <t>Mark 工作量（人天）</t>
        </is>
      </c>
      <c r="B13" s="46">
        <f>SUMPRODUCT(('WBS分解'!$C$4:$C$343=3)*('WBS分解'!$E$4:$E$343="Mark")*'WBS分解'!$I$4:$I$343)</f>
        <v/>
      </c>
      <c r="C13" s="17" t="inlineStr">
        <is>
          <t>约定15人天</t>
        </is>
      </c>
    </row>
    <row r="14">
      <c r="A14" s="17" t="inlineStr">
        <is>
          <t>Mandy 工作量（人天）</t>
        </is>
      </c>
      <c r="B14" s="46">
        <f>SUMPRODUCT(('WBS分解'!$C$4:$C$343=3)*('WBS分解'!$E$4:$E$343="Mandy")*'WBS分解'!$I$4:$I$343)</f>
        <v/>
      </c>
      <c r="C14" s="17" t="inlineStr">
        <is>
          <t>BA/测试/文档</t>
        </is>
      </c>
    </row>
    <row r="15">
      <c r="A15" s="17" t="inlineStr">
        <is>
          <t>Wade 工作量（人天）</t>
        </is>
      </c>
      <c r="B15" s="46">
        <f>SUMPRODUCT(('WBS分解'!$C$4:$C$343=3)*('WBS分解'!$E$4:$E$343="Wade")*'WBS分解'!$I$4:$I$343)</f>
        <v/>
      </c>
      <c r="C15" s="17" t="inlineStr">
        <is>
          <t>开发A</t>
        </is>
      </c>
    </row>
    <row r="16">
      <c r="A16" s="17" t="inlineStr">
        <is>
          <t>DevB 工作量（人天）</t>
        </is>
      </c>
      <c r="B16" s="46">
        <f>SUMPRODUCT(('WBS分解'!$C$4:$C$343=3)*('WBS分解'!$E$4:$E$343="DevB")*'WBS分解'!$I$4:$I$343)</f>
        <v/>
      </c>
      <c r="C16" s="17" t="inlineStr">
        <is>
          <t>开发B</t>
        </is>
      </c>
    </row>
    <row r="17">
      <c r="A17" s="17" t="inlineStr">
        <is>
          <t>预算合计（元）</t>
        </is>
      </c>
      <c r="B17" s="46">
        <f>SUM('WBS分解'!$O$4:$O$343)</f>
        <v/>
      </c>
      <c r="C17" s="17" t="inlineStr">
        <is>
          <t>未填列，可按需补充</t>
        </is>
      </c>
    </row>
    <row r="18"/>
    <row r="19">
      <c r="A19" s="42" t="inlineStr">
        <is>
          <t>※ 本页自动汇总自「WBS分解」表，请勿手工修改。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2026-09-01T09:13:16Z</dcterms:created>
  <dcterms:modified xsi:type="dcterms:W3CDTF">2026-09-02T08:29:03Z</dcterms:modified>
</cp:coreProperties>
</file>