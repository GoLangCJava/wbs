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里程碑计划" sheetId="4" state="visible" r:id="rId4"/>
    <sheet name="资源负荷与日历" sheetId="5" state="visible" r:id="rId5"/>
    <sheet name="WBS词典" sheetId="6" state="visible" r:id="rId6"/>
    <sheet name="进度汇总" sheetId="7" state="visible" r:id="rId7"/>
  </sheets>
  <definedNames>
    <definedName name="_xlnm._FilterDatabase" localSheetId="1" hidden="1">'WBS分解'!$A$3:$Q$164</definedName>
    <definedName name="_xlnm.Print_Titles" localSheetId="1">'WBS分解'!$1:$3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0.##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5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0" fontId="0" fillId="0" borderId="0" applyAlignment="1" pivotButton="0" quotePrefix="0" xfId="0">
      <alignment vertical="center" wrapText="1"/>
    </xf>
    <xf numFmtId="167" fontId="0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3人×3个月：Mandy（BA/测试/文档）、Wade（开发A：架构+前端+应用API）、DevB（开发B：后端+数据）；PM Mark按约定投入15人天贯穿全程；项目正式文档撰写统一由Mandy执行</t>
        </is>
      </c>
    </row>
    <row r="6" ht="30" customHeight="1">
      <c r="A6" s="3" t="inlineStr">
        <is>
          <t>PM投入分布</t>
        </is>
      </c>
      <c r="B6" s="4" t="inlineStr">
        <is>
          <t>Mark 15人天贯穿式分布：启动会1 + 每周项目例会12次×0.5=6 + 开发期每日任务同步会约2 + 进度/风险跟踪2.5 + 里程碑评审2.5 + 交付确认收尾1（最后1天在12/11项目结束时使用）</t>
        </is>
      </c>
    </row>
    <row r="7" ht="18" customHeight="1">
      <c r="A7" s="3" t="inlineStr">
        <is>
          <t>周期</t>
        </is>
      </c>
      <c r="B7" s="4" t="inlineStr">
        <is>
          <t>2026/9/14（周一）启动 → 2026/12/11（周五）交付，共89个自然日、59个工作日（≈12个工作周）</t>
        </is>
      </c>
    </row>
    <row r="8" ht="20" customHeight="1">
      <c r="A8" s="2" t="inlineStr">
        <is>
          <t>二、排期规则</t>
        </is>
      </c>
    </row>
    <row r="9" ht="18" customHeight="1">
      <c r="A9" s="3" t="inlineStr">
        <is>
          <t>开工日</t>
        </is>
      </c>
      <c r="B9" s="4" t="inlineStr">
        <is>
          <t>9/14（周一）</t>
        </is>
      </c>
    </row>
    <row r="10" ht="30" customHeight="1">
      <c r="A10" s="3" t="inlineStr">
        <is>
          <t>不排任务日</t>
        </is>
      </c>
      <c r="B10" s="4" t="inlineStr">
        <is>
          <t>周末（周六/周日）；中秋节 9/25（周五）~9/27（周日）；国庆节 10/1（周四）~10/7（周三）。假期合计损失6个工作日，任务自动顺延</t>
        </is>
      </c>
    </row>
    <row r="11" ht="18" customHeight="1">
      <c r="A11" s="3" t="inlineStr">
        <is>
          <t>调休补班日</t>
        </is>
      </c>
      <c r="B11" s="4" t="inlineStr">
        <is>
          <t>官方补班日 9/20（周日）、10/10（周六）逢周末，按约定同样不排任务；若进度落后可启用为备用赶工日</t>
        </is>
      </c>
    </row>
    <row r="12" ht="30" customHeight="1">
      <c r="A12" s="3" t="inlineStr">
        <is>
          <t>与原计划对应</t>
        </is>
      </c>
      <c r="B12" s="4" t="inlineStr">
        <is>
          <t>原《项目执行计划》W1~W12（60工作日）→ 本版按工作日一一顺延至9/14~12/11（59工作日）；因架构图已预确认，设计收尾较原计划压缩1天</t>
        </is>
      </c>
    </row>
    <row r="13" ht="20" customHeight="1">
      <c r="A13" s="2" t="inlineStr">
        <is>
          <t>三、AI Native模式（与模板传统模式的差异）</t>
        </is>
      </c>
    </row>
    <row r="14" ht="30" customHeight="1">
      <c r="A14" s="3" t="inlineStr">
        <is>
          <t>总体</t>
        </is>
      </c>
      <c r="B14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5" ht="30" customHeight="1">
      <c r="A15" s="3" t="inlineStr">
        <is>
          <t>项目初始化</t>
        </is>
      </c>
      <c r="B15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6" ht="30" customHeight="1">
      <c r="A16" s="3" t="inlineStr">
        <is>
          <t>非功能需求</t>
        </is>
      </c>
      <c r="B16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7" ht="18" customHeight="1">
      <c r="A17" s="3" t="inlineStr">
        <is>
          <t>需求</t>
        </is>
      </c>
      <c r="B17" s="4" t="inlineStr">
        <is>
          <t>人工访谈澄清优先级后，SRS由AI生成初稿+人工评审基线（🤖见2.2.1）</t>
        </is>
      </c>
    </row>
    <row r="18" ht="30" customHeight="1">
      <c r="A18" s="3" t="inlineStr">
        <is>
          <t>设计</t>
        </is>
      </c>
      <c r="B18" s="4" t="inlineStr">
        <is>
          <t>架构图已预确认→设计阶段仅收尾定稿+ADR留痕；新增「AI工程基线」（3.1.1工具链/规范、3.1.2四道安全门禁CI）替代传统前置详细设计</t>
        </is>
      </c>
    </row>
    <row r="19" ht="30" customHeight="1">
      <c r="A19" s="3" t="inlineStr">
        <is>
          <t>开发</t>
        </is>
      </c>
      <c r="B19" s="4" t="inlineStr">
        <is>
          <t>Vibe Coding：AI生成代码+人工审核+四道门禁硬卡点合入；每周五下午固定0.5天技术债偿还；外部关键模块评审2次（10/9、11/11）</t>
        </is>
      </c>
    </row>
    <row r="20" ht="18" customHeight="1">
      <c r="A20" s="3" t="inlineStr">
        <is>
          <t>测试</t>
        </is>
      </c>
      <c r="B20" s="4" t="inlineStr">
        <is>
          <t>AI生成测试用例+人工补充边界/越权用例；AI辅助执行与缺陷聚类（轮1、全量、UAT三级）</t>
        </is>
      </c>
    </row>
    <row r="21" ht="18" customHeight="1">
      <c r="A21" s="3" t="inlineStr">
        <is>
          <t>文档</t>
        </is>
      </c>
      <c r="B21" s="4" t="inlineStr">
        <is>
          <t>AI反生成（代码/演示→手册）+人工润色，随模块滚动产出，不再后置到上线后</t>
        </is>
      </c>
    </row>
    <row r="22" ht="20" customHeight="1">
      <c r="A22" s="2" t="inlineStr">
        <is>
          <t>四、表格说明</t>
        </is>
      </c>
    </row>
    <row r="23" ht="30" customHeight="1">
      <c r="A23" s="3" t="inlineStr">
        <is>
          <t>新增列</t>
        </is>
      </c>
      <c r="B23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4" ht="30" customHeight="1">
      <c r="A24" s="3" t="inlineStr">
        <is>
          <t>工期(天)</t>
        </is>
      </c>
      <c r="B24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5" ht="30" customHeight="1">
      <c r="A25" s="3" t="inlineStr">
        <is>
          <t>里程碑</t>
        </is>
      </c>
      <c r="B25" s="4" t="inlineStr">
        <is>
          <t>任务名称含「◆」且金色底纹＝里程碑（主里程碑M1~M7共7个，另有M5/M6的过程控制点）；M1=9/24（中秋前）、M2=10/9、M3=10/23、M4=11/13、M5=11/27、M6=12/4、M7=12/11</t>
        </is>
      </c>
    </row>
    <row r="26" ht="18" customHeight="1">
      <c r="A26" s="3" t="inlineStr">
        <is>
          <t>自动化</t>
        </is>
      </c>
      <c r="B26" s="4" t="inlineStr">
        <is>
          <t>状态/优先级下拉选择；超期未完成整行自动标红；进度列数据条；一级任务蓝底汇总；「进度汇总」页自动统计</t>
        </is>
      </c>
    </row>
    <row r="27" ht="30" customHeight="1">
      <c r="A27" s="3" t="inlineStr">
        <is>
          <t>功能覆盖对照</t>
        </is>
      </c>
      <c r="B27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8" ht="30" customHeight="1">
      <c r="A28" s="3" t="inlineStr">
        <is>
          <t>其他页签</t>
        </is>
      </c>
      <c r="B28" s="4" t="inlineStr">
        <is>
          <t>「里程碑计划」「资源负荷与日历」「WBS词典」「进度汇总」配合使用；如需甘特图可将WBS编号+起止日期导出到Project/飞书项目</t>
        </is>
      </c>
    </row>
  </sheetData>
  <mergeCells count="5">
    <mergeCell ref="A13:B13"/>
    <mergeCell ref="A1:B1"/>
    <mergeCell ref="A8:B8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11" t="n">
        <v>46279</v>
      </c>
      <c r="G4" s="11" t="n">
        <v>46367</v>
      </c>
      <c r="H4" s="8" t="n">
        <v>59</v>
      </c>
      <c r="I4" s="12">
        <f>ROUND(SUMPRODUCT(($C$4:$C$164=3)*(LEFT($A$4:$A$164,LEN(A4))=A4)*$I$4:$I$164),2)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18" t="n">
        <v>46279</v>
      </c>
      <c r="G5" s="18" t="n">
        <v>46279</v>
      </c>
      <c r="H5" s="15" t="n">
        <v>1</v>
      </c>
      <c r="I5" s="19">
        <f>ROUND(SUMPRODUCT(($C$4:$C$164=3)*(LEFT($A$4:$A$164,LEN(A5))=A5)*$I$4:$I$164),2)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18" t="n">
        <v>46279</v>
      </c>
      <c r="G6" s="18" t="n">
        <v>46279</v>
      </c>
      <c r="H6" s="15" t="n">
        <v>1</v>
      </c>
      <c r="I6" s="19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18" t="n">
        <v>46286</v>
      </c>
      <c r="G7" s="18" t="n">
        <v>46366</v>
      </c>
      <c r="H7" s="15" t="n">
        <v>53</v>
      </c>
      <c r="I7" s="19">
        <f>ROUND(SUMPRODUCT(($C$4:$C$164=3)*(LEFT($A$4:$A$164,LEN(A7))=A7)*$I$4:$I$164),2)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18" t="n">
        <v>46286</v>
      </c>
      <c r="G8" s="18" t="n">
        <v>46364</v>
      </c>
      <c r="H8" s="15" t="n">
        <v>51</v>
      </c>
      <c r="I8" s="19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18" t="n">
        <v>46307</v>
      </c>
      <c r="G9" s="18" t="n">
        <v>46353</v>
      </c>
      <c r="H9" s="15" t="n">
        <v>35</v>
      </c>
      <c r="I9" s="19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开发执行期（10/12~11/27）每日短会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18" t="n">
        <v>46286</v>
      </c>
      <c r="G10" s="18" t="n">
        <v>46366</v>
      </c>
      <c r="H10" s="15" t="n">
        <v>53</v>
      </c>
      <c r="I10" s="19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18" t="n">
        <v>46289</v>
      </c>
      <c r="G11" s="18" t="n">
        <v>46360</v>
      </c>
      <c r="H11" s="15" t="n">
        <v>46</v>
      </c>
      <c r="I11" s="19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18" t="n">
        <v>46286</v>
      </c>
      <c r="G12" s="18" t="n">
        <v>46366</v>
      </c>
      <c r="H12" s="15" t="n">
        <v>53</v>
      </c>
      <c r="I12" s="19" t="n">
        <v>2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每周约0.25天；项目正式文档撰写统一由Mandy执行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18" t="n">
        <v>46367</v>
      </c>
      <c r="G13" s="18" t="n">
        <v>46367</v>
      </c>
      <c r="H13" s="15" t="n">
        <v>1</v>
      </c>
      <c r="I13" s="19">
        <f>ROUND(SUMPRODUCT(($C$4:$C$164=3)*(LEFT($A$4:$A$164,LEN(A13))=A13)*$I$4:$I$164),2)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26" t="n">
        <v>46367</v>
      </c>
      <c r="G14" s="26" t="n">
        <v>46367</v>
      </c>
      <c r="H14" s="23" t="n">
        <v>1</v>
      </c>
      <c r="I14" s="27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12/11最后一个PM人天收尾；交付文档由Mandy齐套（8.2.3）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11" t="n">
        <v>46279</v>
      </c>
      <c r="G15" s="11" t="n">
        <v>46295</v>
      </c>
      <c r="H15" s="8" t="n">
        <v>12</v>
      </c>
      <c r="I15" s="12">
        <f>ROUND(SUMPRODUCT(($C$4:$C$164=3)*(LEFT($A$4:$A$164,LEN(A15))=A15)*$I$4:$I$164),2)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18" t="n">
        <v>46279</v>
      </c>
      <c r="G16" s="18" t="n">
        <v>46283</v>
      </c>
      <c r="H16" s="15" t="n">
        <v>5</v>
      </c>
      <c r="I16" s="19">
        <f>ROUND(SUMPRODUCT(($C$4:$C$164=3)*(LEFT($A$4:$A$164,LEN(A16))=A16)*$I$4:$I$164),2)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18" t="n">
        <v>46279</v>
      </c>
      <c r="G17" s="18" t="n">
        <v>46280</v>
      </c>
      <c r="H17" s="15" t="n">
        <v>2</v>
      </c>
      <c r="I17" s="19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18" t="n">
        <v>46281</v>
      </c>
      <c r="G18" s="18" t="n">
        <v>46282</v>
      </c>
      <c r="H18" s="15" t="n">
        <v>2</v>
      </c>
      <c r="I18" s="19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18" t="n">
        <v>46283</v>
      </c>
      <c r="G19" s="18" t="n">
        <v>46283</v>
      </c>
      <c r="H19" s="15" t="n">
        <v>1</v>
      </c>
      <c r="I19" s="19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18" t="n">
        <v>46286</v>
      </c>
      <c r="G20" s="18" t="n">
        <v>46289</v>
      </c>
      <c r="H20" s="15" t="n">
        <v>4</v>
      </c>
      <c r="I20" s="19">
        <f>ROUND(SUMPRODUCT(($C$4:$C$164=3)*(LEFT($A$4:$A$164,LEN(A20))=A20)*$I$4:$I$164),2)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18" t="n">
        <v>46286</v>
      </c>
      <c r="G21" s="18" t="n">
        <v>46288</v>
      </c>
      <c r="H21" s="15" t="n">
        <v>3</v>
      </c>
      <c r="I21" s="19" t="n">
        <v>3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26" t="n">
        <v>46289</v>
      </c>
      <c r="G22" s="26" t="n">
        <v>46289</v>
      </c>
      <c r="H22" s="23" t="n">
        <v>1</v>
      </c>
      <c r="I22" s="27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18" t="n">
        <v>46293</v>
      </c>
      <c r="G23" s="18" t="n">
        <v>46303</v>
      </c>
      <c r="H23" s="15" t="n">
        <v>4</v>
      </c>
      <c r="I23" s="19">
        <f>ROUND(SUMPRODUCT(($C$4:$C$164=3)*(LEFT($A$4:$A$164,LEN(A23))=A23)*$I$4:$I$164),2)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18" t="n">
        <v>46293</v>
      </c>
      <c r="G24" s="18" t="n">
        <v>46293</v>
      </c>
      <c r="H24" s="15" t="n">
        <v>1</v>
      </c>
      <c r="I24" s="19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18" t="n">
        <v>46294</v>
      </c>
      <c r="G25" s="18" t="n">
        <v>46294</v>
      </c>
      <c r="H25" s="15" t="n">
        <v>1</v>
      </c>
      <c r="I25" s="19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18" t="n">
        <v>46295</v>
      </c>
      <c r="G26" s="18" t="n">
        <v>46303</v>
      </c>
      <c r="H26" s="15" t="n">
        <v>2</v>
      </c>
      <c r="I26" s="19" t="n">
        <v>2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18" t="n">
        <v>46303</v>
      </c>
      <c r="G27" s="18" t="n">
        <v>46360</v>
      </c>
      <c r="H27" s="15" t="n">
        <v>42</v>
      </c>
      <c r="I27" s="19">
        <f>ROUND(SUMPRODUCT(($C$4:$C$164=3)*(LEFT($A$4:$A$164,LEN(A27))=A27)*$I$4:$I$164),2)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18" t="n">
        <v>46303</v>
      </c>
      <c r="G28" s="18" t="n">
        <v>46360</v>
      </c>
      <c r="H28" s="15" t="n">
        <v>42</v>
      </c>
      <c r="I28" s="19" t="n">
        <v>1.5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11" t="n">
        <v>46279</v>
      </c>
      <c r="G29" s="11" t="n">
        <v>46304</v>
      </c>
      <c r="H29" s="8" t="n">
        <v>14</v>
      </c>
      <c r="I29" s="12">
        <f>ROUND(SUMPRODUCT(($C$4:$C$164=3)*(LEFT($A$4:$A$164,LEN(A29))=A29)*$I$4:$I$164),2)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18" t="n">
        <v>46279</v>
      </c>
      <c r="G30" s="18" t="n">
        <v>46283</v>
      </c>
      <c r="H30" s="15" t="n">
        <v>5</v>
      </c>
      <c r="I30" s="19">
        <f>ROUND(SUMPRODUCT(($C$4:$C$164=3)*(LEFT($A$4:$A$164,LEN(A30))=A30)*$I$4:$I$164),2)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18" t="n">
        <v>46279</v>
      </c>
      <c r="G31" s="18" t="n">
        <v>46279</v>
      </c>
      <c r="H31" s="15" t="n">
        <v>1</v>
      </c>
      <c r="I31" s="19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18" t="n">
        <v>46280</v>
      </c>
      <c r="G32" s="18" t="n">
        <v>46280</v>
      </c>
      <c r="H32" s="15" t="n">
        <v>1</v>
      </c>
      <c r="I32" s="19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18" t="n">
        <v>46281</v>
      </c>
      <c r="G33" s="18" t="n">
        <v>46286</v>
      </c>
      <c r="H33" s="15" t="n">
        <v>4</v>
      </c>
      <c r="I33" s="19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18" t="n">
        <v>46287</v>
      </c>
      <c r="G34" s="18" t="n">
        <v>46287</v>
      </c>
      <c r="H34" s="15" t="n">
        <v>1</v>
      </c>
      <c r="I34" s="19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18" t="n">
        <v>46279</v>
      </c>
      <c r="G35" s="18" t="n">
        <v>46304</v>
      </c>
      <c r="H35" s="15" t="n">
        <v>14</v>
      </c>
      <c r="I35" s="19">
        <f>ROUND(SUMPRODUCT(($C$4:$C$164=3)*(LEFT($A$4:$A$164,LEN(A35))=A35)*$I$4:$I$164),2)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18" t="n">
        <v>46279</v>
      </c>
      <c r="G36" s="18" t="n">
        <v>46280</v>
      </c>
      <c r="H36" s="15" t="n">
        <v>2</v>
      </c>
      <c r="I36" s="19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18" t="n">
        <v>46281</v>
      </c>
      <c r="G37" s="18" t="n">
        <v>46282</v>
      </c>
      <c r="H37" s="15" t="n">
        <v>2</v>
      </c>
      <c r="I37" s="19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18" t="n">
        <v>46283</v>
      </c>
      <c r="G38" s="18" t="n">
        <v>46283</v>
      </c>
      <c r="H38" s="15" t="n">
        <v>1</v>
      </c>
      <c r="I38" s="19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18" t="n">
        <v>46286</v>
      </c>
      <c r="G39" s="18" t="n">
        <v>46287</v>
      </c>
      <c r="H39" s="15" t="n">
        <v>2</v>
      </c>
      <c r="I39" s="19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18" t="n">
        <v>46288</v>
      </c>
      <c r="G40" s="18" t="n">
        <v>46289</v>
      </c>
      <c r="H40" s="15" t="n">
        <v>2</v>
      </c>
      <c r="I40" s="19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18" t="n">
        <v>46293</v>
      </c>
      <c r="G41" s="18" t="n">
        <v>46294</v>
      </c>
      <c r="H41" s="15" t="n">
        <v>2</v>
      </c>
      <c r="I41" s="19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18" t="n">
        <v>46295</v>
      </c>
      <c r="G42" s="18" t="n">
        <v>46303</v>
      </c>
      <c r="H42" s="15" t="n">
        <v>2</v>
      </c>
      <c r="I42" s="19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18" t="n">
        <v>46304</v>
      </c>
      <c r="G43" s="18" t="n">
        <v>46304</v>
      </c>
      <c r="H43" s="15" t="n">
        <v>1</v>
      </c>
      <c r="I43" s="19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18" t="n">
        <v>46286</v>
      </c>
      <c r="G44" s="18" t="n">
        <v>46304</v>
      </c>
      <c r="H44" s="15" t="n">
        <v>9</v>
      </c>
      <c r="I44" s="19">
        <f>ROUND(SUMPRODUCT(($C$4:$C$164=3)*(LEFT($A$4:$A$164,LEN(A44))=A44)*$I$4:$I$164),2)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18" t="n">
        <v>46288</v>
      </c>
      <c r="G45" s="18" t="n">
        <v>46289</v>
      </c>
      <c r="H45" s="15" t="n">
        <v>2</v>
      </c>
      <c r="I45" s="19" t="n">
        <v>1.5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18" t="n">
        <v>46293</v>
      </c>
      <c r="G46" s="18" t="n">
        <v>46294</v>
      </c>
      <c r="H46" s="15" t="n">
        <v>2</v>
      </c>
      <c r="I46" s="19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18" t="n">
        <v>46295</v>
      </c>
      <c r="G47" s="18" t="n">
        <v>46295</v>
      </c>
      <c r="H47" s="15" t="n">
        <v>1</v>
      </c>
      <c r="I47" s="19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18" t="n">
        <v>46303</v>
      </c>
      <c r="G48" s="18" t="n">
        <v>46303</v>
      </c>
      <c r="H48" s="15" t="n">
        <v>1</v>
      </c>
      <c r="I48" s="19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18" t="n">
        <v>46304</v>
      </c>
      <c r="G49" s="18" t="n">
        <v>46304</v>
      </c>
      <c r="H49" s="15" t="n">
        <v>1</v>
      </c>
      <c r="I49" s="19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26" t="n">
        <v>46304</v>
      </c>
      <c r="G50" s="26" t="n">
        <v>46304</v>
      </c>
      <c r="H50" s="23" t="n">
        <v>1</v>
      </c>
      <c r="I50" s="27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11" t="n">
        <v>46307</v>
      </c>
      <c r="G51" s="11" t="n">
        <v>46318</v>
      </c>
      <c r="H51" s="8" t="n">
        <v>10</v>
      </c>
      <c r="I51" s="12">
        <f>ROUND(SUMPRODUCT(($C$4:$C$164=3)*(LEFT($A$4:$A$164,LEN(A51))=A51)*$I$4:$I$164),2)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18" t="n">
        <v>46307</v>
      </c>
      <c r="G52" s="18" t="n">
        <v>46314</v>
      </c>
      <c r="H52" s="15" t="n">
        <v>6</v>
      </c>
      <c r="I52" s="19">
        <f>ROUND(SUMPRODUCT(($C$4:$C$164=3)*(LEFT($A$4:$A$164,LEN(A52))=A52)*$I$4:$I$164),2)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18" t="n">
        <v>46307</v>
      </c>
      <c r="G53" s="18" t="n">
        <v>46309</v>
      </c>
      <c r="H53" s="15" t="n">
        <v>3</v>
      </c>
      <c r="I53" s="19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18" t="n">
        <v>46310</v>
      </c>
      <c r="G54" s="18" t="n">
        <v>46311</v>
      </c>
      <c r="H54" s="15" t="n">
        <v>2</v>
      </c>
      <c r="I54" s="19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18" t="n">
        <v>46314</v>
      </c>
      <c r="G55" s="18" t="n">
        <v>46314</v>
      </c>
      <c r="H55" s="15" t="n">
        <v>1</v>
      </c>
      <c r="I55" s="19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18" t="n">
        <v>46307</v>
      </c>
      <c r="G56" s="18" t="n">
        <v>46318</v>
      </c>
      <c r="H56" s="15" t="n">
        <v>10</v>
      </c>
      <c r="I56" s="19">
        <f>ROUND(SUMPRODUCT(($C$4:$C$164=3)*(LEFT($A$4:$A$164,LEN(A56))=A56)*$I$4:$I$164),2)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18" t="n">
        <v>46307</v>
      </c>
      <c r="G57" s="18" t="n">
        <v>46308</v>
      </c>
      <c r="H57" s="15" t="n">
        <v>2</v>
      </c>
      <c r="I57" s="19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18" t="n">
        <v>46309</v>
      </c>
      <c r="G58" s="18" t="n">
        <v>46309</v>
      </c>
      <c r="H58" s="15" t="n">
        <v>1</v>
      </c>
      <c r="I58" s="19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18" t="n">
        <v>46310</v>
      </c>
      <c r="G59" s="18" t="n">
        <v>46310</v>
      </c>
      <c r="H59" s="15" t="n">
        <v>1</v>
      </c>
      <c r="I59" s="19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18" t="n">
        <v>46311</v>
      </c>
      <c r="G60" s="18" t="n">
        <v>46311</v>
      </c>
      <c r="H60" s="15" t="n">
        <v>1</v>
      </c>
      <c r="I60" s="19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18" t="n">
        <v>46314</v>
      </c>
      <c r="G61" s="18" t="n">
        <v>46315</v>
      </c>
      <c r="H61" s="15" t="n">
        <v>2</v>
      </c>
      <c r="I61" s="19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18" t="n">
        <v>46316</v>
      </c>
      <c r="G62" s="18" t="n">
        <v>46317</v>
      </c>
      <c r="H62" s="15" t="n">
        <v>2</v>
      </c>
      <c r="I62" s="19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18" t="n">
        <v>46318</v>
      </c>
      <c r="G63" s="18" t="n">
        <v>46318</v>
      </c>
      <c r="H63" s="15" t="n">
        <v>1</v>
      </c>
      <c r="I63" s="19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18" t="n">
        <v>46315</v>
      </c>
      <c r="G64" s="18" t="n">
        <v>46318</v>
      </c>
      <c r="H64" s="15" t="n">
        <v>4</v>
      </c>
      <c r="I64" s="19">
        <f>ROUND(SUMPRODUCT(($C$4:$C$164=3)*(LEFT($A$4:$A$164,LEN(A64))=A64)*$I$4:$I$164),2)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18" t="n">
        <v>46315</v>
      </c>
      <c r="G65" s="18" t="n">
        <v>46316</v>
      </c>
      <c r="H65" s="15" t="n">
        <v>2</v>
      </c>
      <c r="I65" s="19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18" t="n">
        <v>46317</v>
      </c>
      <c r="G66" s="18" t="n">
        <v>46317</v>
      </c>
      <c r="H66" s="15" t="n">
        <v>1</v>
      </c>
      <c r="I66" s="19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26" t="n">
        <v>46318</v>
      </c>
      <c r="G67" s="26" t="n">
        <v>46318</v>
      </c>
      <c r="H67" s="23" t="n">
        <v>1</v>
      </c>
      <c r="I67" s="27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18" t="n">
        <v>46307</v>
      </c>
      <c r="G68" s="18" t="n">
        <v>46318</v>
      </c>
      <c r="H68" s="15" t="n">
        <v>10</v>
      </c>
      <c r="I68" s="19">
        <f>ROUND(SUMPRODUCT(($C$4:$C$164=3)*(LEFT($A$4:$A$164,LEN(A68))=A68)*$I$4:$I$164),2)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18" t="n">
        <v>46307</v>
      </c>
      <c r="G69" s="18" t="n">
        <v>46308</v>
      </c>
      <c r="H69" s="15" t="n">
        <v>2</v>
      </c>
      <c r="I69" s="19" t="n">
        <v>2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18" t="n">
        <v>46309</v>
      </c>
      <c r="G70" s="18" t="n">
        <v>46310</v>
      </c>
      <c r="H70" s="15" t="n">
        <v>2</v>
      </c>
      <c r="I70" s="19" t="n">
        <v>1.5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18" t="n">
        <v>46311</v>
      </c>
      <c r="G71" s="18" t="n">
        <v>46314</v>
      </c>
      <c r="H71" s="15" t="n">
        <v>2</v>
      </c>
      <c r="I71" s="19" t="n">
        <v>1.5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18" t="n">
        <v>46317</v>
      </c>
      <c r="G72" s="18" t="n">
        <v>46317</v>
      </c>
      <c r="H72" s="15" t="n">
        <v>1</v>
      </c>
      <c r="I72" s="19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18" t="n">
        <v>46315</v>
      </c>
      <c r="G73" s="18" t="n">
        <v>46316</v>
      </c>
      <c r="H73" s="15" t="n">
        <v>2</v>
      </c>
      <c r="I73" s="19" t="n">
        <v>2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18" t="n">
        <v>46318</v>
      </c>
      <c r="G74" s="18" t="n">
        <v>46318</v>
      </c>
      <c r="H74" s="15" t="n">
        <v>1</v>
      </c>
      <c r="I74" s="19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11" t="n">
        <v>46321</v>
      </c>
      <c r="G75" s="11" t="n">
        <v>46339</v>
      </c>
      <c r="H75" s="8" t="n">
        <v>15</v>
      </c>
      <c r="I75" s="12">
        <f>ROUND(SUMPRODUCT(($C$4:$C$164=3)*(LEFT($A$4:$A$164,LEN(A75))=A75)*$I$4:$I$164),2)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18" t="n">
        <v>46321</v>
      </c>
      <c r="G76" s="18" t="n">
        <v>46339</v>
      </c>
      <c r="H76" s="15" t="n">
        <v>15</v>
      </c>
      <c r="I76" s="19">
        <f>ROUND(SUMPRODUCT(($C$4:$C$164=3)*(LEFT($A$4:$A$164,LEN(A76))=A76)*$I$4:$I$164),2)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18" t="n">
        <v>46321</v>
      </c>
      <c r="G77" s="18" t="n">
        <v>46322</v>
      </c>
      <c r="H77" s="15" t="n">
        <v>2</v>
      </c>
      <c r="I77" s="19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18" t="n">
        <v>46323</v>
      </c>
      <c r="G78" s="18" t="n">
        <v>46324</v>
      </c>
      <c r="H78" s="15" t="n">
        <v>2</v>
      </c>
      <c r="I78" s="19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18" t="n">
        <v>46325</v>
      </c>
      <c r="G79" s="18" t="n">
        <v>46328</v>
      </c>
      <c r="H79" s="15" t="n">
        <v>2</v>
      </c>
      <c r="I79" s="19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18" t="n">
        <v>46329</v>
      </c>
      <c r="G80" s="18" t="n">
        <v>46329</v>
      </c>
      <c r="H80" s="15" t="n">
        <v>1</v>
      </c>
      <c r="I80" s="19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18" t="n">
        <v>46330</v>
      </c>
      <c r="G81" s="18" t="n">
        <v>46331</v>
      </c>
      <c r="H81" s="15" t="n">
        <v>2</v>
      </c>
      <c r="I81" s="19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18" t="n">
        <v>46332</v>
      </c>
      <c r="G82" s="18" t="n">
        <v>46332</v>
      </c>
      <c r="H82" s="15" t="n">
        <v>1</v>
      </c>
      <c r="I82" s="19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18" t="n">
        <v>46335</v>
      </c>
      <c r="G83" s="18" t="n">
        <v>46336</v>
      </c>
      <c r="H83" s="15" t="n">
        <v>2</v>
      </c>
      <c r="I83" s="19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18" t="n">
        <v>46337</v>
      </c>
      <c r="G84" s="18" t="n">
        <v>46337</v>
      </c>
      <c r="H84" s="15" t="n">
        <v>1</v>
      </c>
      <c r="I84" s="19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18" t="n">
        <v>46338</v>
      </c>
      <c r="G85" s="18" t="n">
        <v>46339</v>
      </c>
      <c r="H85" s="15" t="n">
        <v>2</v>
      </c>
      <c r="I85" s="19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18" t="n">
        <v>46321</v>
      </c>
      <c r="G86" s="18" t="n">
        <v>46339</v>
      </c>
      <c r="H86" s="15" t="n">
        <v>15</v>
      </c>
      <c r="I86" s="19">
        <f>ROUND(SUMPRODUCT(($C$4:$C$164=3)*(LEFT($A$4:$A$164,LEN(A86))=A86)*$I$4:$I$164),2)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18" t="n">
        <v>46321</v>
      </c>
      <c r="G87" s="18" t="n">
        <v>46321</v>
      </c>
      <c r="H87" s="15" t="n">
        <v>1</v>
      </c>
      <c r="I87" s="19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18" t="n">
        <v>46322</v>
      </c>
      <c r="G88" s="18" t="n">
        <v>46323</v>
      </c>
      <c r="H88" s="15" t="n">
        <v>2</v>
      </c>
      <c r="I88" s="19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18" t="n">
        <v>46324</v>
      </c>
      <c r="G89" s="18" t="n">
        <v>46325</v>
      </c>
      <c r="H89" s="15" t="n">
        <v>2</v>
      </c>
      <c r="I89" s="19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18" t="n">
        <v>46328</v>
      </c>
      <c r="G90" s="18" t="n">
        <v>46328</v>
      </c>
      <c r="H90" s="15" t="n">
        <v>1</v>
      </c>
      <c r="I90" s="19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18" t="n">
        <v>46329</v>
      </c>
      <c r="G91" s="18" t="n">
        <v>46330</v>
      </c>
      <c r="H91" s="15" t="n">
        <v>2</v>
      </c>
      <c r="I91" s="19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18" t="n">
        <v>46331</v>
      </c>
      <c r="G92" s="18" t="n">
        <v>46331</v>
      </c>
      <c r="H92" s="15" t="n">
        <v>1</v>
      </c>
      <c r="I92" s="19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18" t="n">
        <v>46332</v>
      </c>
      <c r="G93" s="18" t="n">
        <v>46332</v>
      </c>
      <c r="H93" s="15" t="n">
        <v>1</v>
      </c>
      <c r="I93" s="19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18" t="n">
        <v>46335</v>
      </c>
      <c r="G94" s="18" t="n">
        <v>46335</v>
      </c>
      <c r="H94" s="15" t="n">
        <v>1</v>
      </c>
      <c r="I94" s="19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18" t="n">
        <v>46336</v>
      </c>
      <c r="G95" s="18" t="n">
        <v>46336</v>
      </c>
      <c r="H95" s="15" t="n">
        <v>1</v>
      </c>
      <c r="I95" s="19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18" t="n">
        <v>46337</v>
      </c>
      <c r="G96" s="18" t="n">
        <v>46337</v>
      </c>
      <c r="H96" s="15" t="n">
        <v>1</v>
      </c>
      <c r="I96" s="19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18" t="n">
        <v>46338</v>
      </c>
      <c r="G97" s="18" t="n">
        <v>46339</v>
      </c>
      <c r="H97" s="15" t="n">
        <v>2</v>
      </c>
      <c r="I97" s="19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18" t="n">
        <v>46321</v>
      </c>
      <c r="G98" s="18" t="n">
        <v>46339</v>
      </c>
      <c r="H98" s="15" t="n">
        <v>15</v>
      </c>
      <c r="I98" s="19">
        <f>ROUND(SUMPRODUCT(($C$4:$C$164=3)*(LEFT($A$4:$A$164,LEN(A98))=A98)*$I$4:$I$164),2)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18" t="n">
        <v>46321</v>
      </c>
      <c r="G99" s="18" t="n">
        <v>46322</v>
      </c>
      <c r="H99" s="15" t="n">
        <v>2</v>
      </c>
      <c r="I99" s="19" t="n">
        <v>2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18" t="n">
        <v>46323</v>
      </c>
      <c r="G100" s="18" t="n">
        <v>46323</v>
      </c>
      <c r="H100" s="15" t="n">
        <v>1</v>
      </c>
      <c r="I100" s="19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18" t="n">
        <v>46324</v>
      </c>
      <c r="G101" s="18" t="n">
        <v>46324</v>
      </c>
      <c r="H101" s="15" t="n">
        <v>1</v>
      </c>
      <c r="I101" s="19" t="n">
        <v>1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18" t="n">
        <v>46325</v>
      </c>
      <c r="G102" s="18" t="n">
        <v>46325</v>
      </c>
      <c r="H102" s="15" t="n">
        <v>1</v>
      </c>
      <c r="I102" s="19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18" t="n">
        <v>46328</v>
      </c>
      <c r="G103" s="18" t="n">
        <v>46328</v>
      </c>
      <c r="H103" s="15" t="n">
        <v>1</v>
      </c>
      <c r="I103" s="19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18" t="n">
        <v>46329</v>
      </c>
      <c r="G104" s="18" t="n">
        <v>46329</v>
      </c>
      <c r="H104" s="15" t="n">
        <v>1</v>
      </c>
      <c r="I104" s="19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18" t="n">
        <v>46330</v>
      </c>
      <c r="G105" s="18" t="n">
        <v>46330</v>
      </c>
      <c r="H105" s="15" t="n">
        <v>1</v>
      </c>
      <c r="I105" s="19" t="n">
        <v>1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18" t="n">
        <v>46331</v>
      </c>
      <c r="G106" s="18" t="n">
        <v>46331</v>
      </c>
      <c r="H106" s="15" t="n">
        <v>1</v>
      </c>
      <c r="I106" s="19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18" t="n">
        <v>46332</v>
      </c>
      <c r="G107" s="18" t="n">
        <v>46332</v>
      </c>
      <c r="H107" s="15" t="n">
        <v>1</v>
      </c>
      <c r="I107" s="19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18" t="n">
        <v>46335</v>
      </c>
      <c r="G108" s="18" t="n">
        <v>46336</v>
      </c>
      <c r="H108" s="15" t="n">
        <v>2</v>
      </c>
      <c r="I108" s="19" t="n">
        <v>1.5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18" t="n">
        <v>46337</v>
      </c>
      <c r="G109" s="18" t="n">
        <v>46337</v>
      </c>
      <c r="H109" s="15" t="n">
        <v>1</v>
      </c>
      <c r="I109" s="19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18" t="n">
        <v>46338</v>
      </c>
      <c r="G110" s="18" t="n">
        <v>46338</v>
      </c>
      <c r="H110" s="15" t="n">
        <v>1</v>
      </c>
      <c r="I110" s="19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18" t="n">
        <v>46336</v>
      </c>
      <c r="G111" s="18" t="n">
        <v>46339</v>
      </c>
      <c r="H111" s="15" t="n">
        <v>4</v>
      </c>
      <c r="I111" s="19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18" t="n">
        <v>46321</v>
      </c>
      <c r="G112" s="18" t="n">
        <v>46339</v>
      </c>
      <c r="H112" s="15" t="n">
        <v>15</v>
      </c>
      <c r="I112" s="19">
        <f>ROUND(SUMPRODUCT(($C$4:$C$164=3)*(LEFT($A$4:$A$164,LEN(A112))=A112)*$I$4:$I$164),2)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18" t="n">
        <v>46337</v>
      </c>
      <c r="G113" s="18" t="n">
        <v>46337</v>
      </c>
      <c r="H113" s="15" t="n">
        <v>1</v>
      </c>
      <c r="I113" s="19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26" t="n">
        <v>46339</v>
      </c>
      <c r="G114" s="26" t="n">
        <v>46339</v>
      </c>
      <c r="H114" s="23" t="n">
        <v>1</v>
      </c>
      <c r="I114" s="27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11" t="n">
        <v>46342</v>
      </c>
      <c r="G115" s="11" t="n">
        <v>46353</v>
      </c>
      <c r="H115" s="8" t="n">
        <v>10</v>
      </c>
      <c r="I115" s="12">
        <f>ROUND(SUMPRODUCT(($C$4:$C$164=3)*(LEFT($A$4:$A$164,LEN(A115))=A115)*$I$4:$I$164),2)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11/16~11/27；M5=11/27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18" t="n">
        <v>46342</v>
      </c>
      <c r="G116" s="18" t="n">
        <v>46353</v>
      </c>
      <c r="H116" s="15" t="n">
        <v>10</v>
      </c>
      <c r="I116" s="19">
        <f>ROUND(SUMPRODUCT(($C$4:$C$164=3)*(LEFT($A$4:$A$164,LEN(A116))=A116)*$I$4:$I$164),2)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18" t="n">
        <v>46342</v>
      </c>
      <c r="G117" s="18" t="n">
        <v>46343</v>
      </c>
      <c r="H117" s="15" t="n">
        <v>2</v>
      </c>
      <c r="I117" s="19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18" t="n">
        <v>46344</v>
      </c>
      <c r="G118" s="18" t="n">
        <v>46345</v>
      </c>
      <c r="H118" s="15" t="n">
        <v>2</v>
      </c>
      <c r="I118" s="19" t="n">
        <v>2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18" t="n">
        <v>46346</v>
      </c>
      <c r="G119" s="18" t="n">
        <v>46346</v>
      </c>
      <c r="H119" s="15" t="n">
        <v>1</v>
      </c>
      <c r="I119" s="19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18" t="n">
        <v>46349</v>
      </c>
      <c r="G120" s="18" t="n">
        <v>46350</v>
      </c>
      <c r="H120" s="15" t="n">
        <v>2</v>
      </c>
      <c r="I120" s="19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18" t="n">
        <v>46351</v>
      </c>
      <c r="G121" s="18" t="n">
        <v>46352</v>
      </c>
      <c r="H121" s="15" t="n">
        <v>2</v>
      </c>
      <c r="I121" s="19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26" t="n">
        <v>46353</v>
      </c>
      <c r="G122" s="26" t="n">
        <v>46353</v>
      </c>
      <c r="H122" s="23" t="n">
        <v>1</v>
      </c>
      <c r="I122" s="27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11/27（与6.2.6同日达成）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18" t="n">
        <v>46342</v>
      </c>
      <c r="G123" s="18" t="n">
        <v>46353</v>
      </c>
      <c r="H123" s="15" t="n">
        <v>10</v>
      </c>
      <c r="I123" s="19">
        <f>ROUND(SUMPRODUCT(($C$4:$C$164=3)*(LEFT($A$4:$A$164,LEN(A123))=A123)*$I$4:$I$164),2)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18" t="n">
        <v>46342</v>
      </c>
      <c r="G124" s="18" t="n">
        <v>46344</v>
      </c>
      <c r="H124" s="15" t="n">
        <v>3</v>
      </c>
      <c r="I124" s="19" t="n">
        <v>3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18" t="n">
        <v>46345</v>
      </c>
      <c r="G125" s="18" t="n">
        <v>46346</v>
      </c>
      <c r="H125" s="15" t="n">
        <v>2</v>
      </c>
      <c r="I125" s="19" t="n">
        <v>2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18" t="n">
        <v>46349</v>
      </c>
      <c r="G126" s="18" t="n">
        <v>46349</v>
      </c>
      <c r="H126" s="15" t="n">
        <v>1</v>
      </c>
      <c r="I126" s="19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18" t="n">
        <v>46350</v>
      </c>
      <c r="G127" s="18" t="n">
        <v>46351</v>
      </c>
      <c r="H127" s="15" t="n">
        <v>2</v>
      </c>
      <c r="I127" s="19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18" t="n">
        <v>46352</v>
      </c>
      <c r="G128" s="18" t="n">
        <v>46352</v>
      </c>
      <c r="H128" s="15" t="n">
        <v>1</v>
      </c>
      <c r="I128" s="19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26" t="n">
        <v>46353</v>
      </c>
      <c r="G129" s="26" t="n">
        <v>46353</v>
      </c>
      <c r="H129" s="23" t="n">
        <v>1</v>
      </c>
      <c r="I129" s="27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11/27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18" t="n">
        <v>46342</v>
      </c>
      <c r="G130" s="18" t="n">
        <v>46353</v>
      </c>
      <c r="H130" s="15" t="n">
        <v>10</v>
      </c>
      <c r="I130" s="19">
        <f>ROUND(SUMPRODUCT(($C$4:$C$164=3)*(LEFT($A$4:$A$164,LEN(A130))=A130)*$I$4:$I$164),2)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18" t="n">
        <v>46342</v>
      </c>
      <c r="G131" s="18" t="n">
        <v>46343</v>
      </c>
      <c r="H131" s="15" t="n">
        <v>2</v>
      </c>
      <c r="I131" s="19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18" t="n">
        <v>46344</v>
      </c>
      <c r="G132" s="18" t="n">
        <v>46346</v>
      </c>
      <c r="H132" s="15" t="n">
        <v>3</v>
      </c>
      <c r="I132" s="19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18" t="n">
        <v>46349</v>
      </c>
      <c r="G133" s="18" t="n">
        <v>46350</v>
      </c>
      <c r="H133" s="15" t="n">
        <v>2</v>
      </c>
      <c r="I133" s="19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18" t="n">
        <v>46351</v>
      </c>
      <c r="G134" s="18" t="n">
        <v>46351</v>
      </c>
      <c r="H134" s="15" t="n">
        <v>1</v>
      </c>
      <c r="I134" s="19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18" t="n">
        <v>46352</v>
      </c>
      <c r="G135" s="18" t="n">
        <v>46353</v>
      </c>
      <c r="H135" s="15" t="n">
        <v>2</v>
      </c>
      <c r="I135" s="19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11" t="n">
        <v>46356</v>
      </c>
      <c r="G136" s="11" t="n">
        <v>46360</v>
      </c>
      <c r="H136" s="8" t="n">
        <v>5</v>
      </c>
      <c r="I136" s="12">
        <f>ROUND(SUMPRODUCT(($C$4:$C$164=3)*(LEFT($A$4:$A$164,LEN(A136))=A136)*$I$4:$I$164),2)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11/30~12/4；M6=12/4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18" t="n">
        <v>46356</v>
      </c>
      <c r="G137" s="18" t="n">
        <v>46360</v>
      </c>
      <c r="H137" s="15" t="n">
        <v>5</v>
      </c>
      <c r="I137" s="19">
        <f>ROUND(SUMPRODUCT(($C$4:$C$164=3)*(LEFT($A$4:$A$164,LEN(A137))=A137)*$I$4:$I$164),2)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18" t="n">
        <v>46356</v>
      </c>
      <c r="G138" s="18" t="n">
        <v>46357</v>
      </c>
      <c r="H138" s="15" t="n">
        <v>2</v>
      </c>
      <c r="I138" s="19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18" t="n">
        <v>46358</v>
      </c>
      <c r="G139" s="18" t="n">
        <v>46358</v>
      </c>
      <c r="H139" s="15" t="n">
        <v>1</v>
      </c>
      <c r="I139" s="19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26" t="n">
        <v>46359</v>
      </c>
      <c r="G140" s="26" t="n">
        <v>46359</v>
      </c>
      <c r="H140" s="23" t="n">
        <v>1</v>
      </c>
      <c r="I140" s="27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12/3；业务方到场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18" t="n">
        <v>46360</v>
      </c>
      <c r="G141" s="18" t="n">
        <v>46360</v>
      </c>
      <c r="H141" s="15" t="n">
        <v>1</v>
      </c>
      <c r="I141" s="19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12/4；AI辅助成文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18" t="n">
        <v>46356</v>
      </c>
      <c r="G142" s="18" t="n">
        <v>46360</v>
      </c>
      <c r="H142" s="15" t="n">
        <v>5</v>
      </c>
      <c r="I142" s="19">
        <f>ROUND(SUMPRODUCT(($C$4:$C$164=3)*(LEFT($A$4:$A$164,LEN(A142))=A142)*$I$4:$I$164),2)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18" t="n">
        <v>46356</v>
      </c>
      <c r="G143" s="18" t="n">
        <v>46356</v>
      </c>
      <c r="H143" s="15" t="n">
        <v>1</v>
      </c>
      <c r="I143" s="19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18" t="n">
        <v>46357</v>
      </c>
      <c r="G144" s="18" t="n">
        <v>46358</v>
      </c>
      <c r="H144" s="15" t="n">
        <v>2</v>
      </c>
      <c r="I144" s="19" t="n">
        <v>1.5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18" t="n">
        <v>46359</v>
      </c>
      <c r="G145" s="18" t="n">
        <v>46359</v>
      </c>
      <c r="H145" s="15" t="n">
        <v>1</v>
      </c>
      <c r="I145" s="19" t="n">
        <v>1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18" t="n">
        <v>46356</v>
      </c>
      <c r="G146" s="18" t="n">
        <v>46356</v>
      </c>
      <c r="H146" s="15" t="n">
        <v>1</v>
      </c>
      <c r="I146" s="19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18" t="n">
        <v>46357</v>
      </c>
      <c r="G147" s="18" t="n">
        <v>46358</v>
      </c>
      <c r="H147" s="15" t="n">
        <v>2</v>
      </c>
      <c r="I147" s="19" t="n">
        <v>1.5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18" t="n">
        <v>46359</v>
      </c>
      <c r="G148" s="18" t="n">
        <v>46359</v>
      </c>
      <c r="H148" s="15" t="n">
        <v>1</v>
      </c>
      <c r="I148" s="19" t="n">
        <v>1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26" t="n">
        <v>46360</v>
      </c>
      <c r="G149" s="26" t="n">
        <v>46360</v>
      </c>
      <c r="H149" s="23" t="n">
        <v>1</v>
      </c>
      <c r="I149" s="27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12/4；PM+业务方参加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18" t="n">
        <v>46360</v>
      </c>
      <c r="G150" s="18" t="n">
        <v>46360</v>
      </c>
      <c r="H150" s="15" t="n">
        <v>1</v>
      </c>
      <c r="I150" s="19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11" t="n">
        <v>46363</v>
      </c>
      <c r="G151" s="11" t="n">
        <v>46367</v>
      </c>
      <c r="H151" s="8" t="n">
        <v>5</v>
      </c>
      <c r="I151" s="12">
        <f>ROUND(SUMPRODUCT(($C$4:$C$164=3)*(LEFT($A$4:$A$164,LEN(A151))=A151)*$I$4:$I$164),2)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12/7~12/11；M7=12/11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18" t="n">
        <v>46363</v>
      </c>
      <c r="G152" s="18" t="n">
        <v>46366</v>
      </c>
      <c r="H152" s="15" t="n">
        <v>4</v>
      </c>
      <c r="I152" s="19">
        <f>ROUND(SUMPRODUCT(($C$4:$C$164=3)*(LEFT($A$4:$A$164,LEN(A152))=A152)*$I$4:$I$164),2)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18" t="n">
        <v>46363</v>
      </c>
      <c r="G153" s="18" t="n">
        <v>46363</v>
      </c>
      <c r="H153" s="15" t="n">
        <v>1</v>
      </c>
      <c r="I153" s="19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18" t="n">
        <v>46363</v>
      </c>
      <c r="G154" s="18" t="n">
        <v>46365</v>
      </c>
      <c r="H154" s="15" t="n">
        <v>3</v>
      </c>
      <c r="I154" s="19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12/7~12/9分批执行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18" t="n">
        <v>46366</v>
      </c>
      <c r="G155" s="18" t="n">
        <v>46366</v>
      </c>
      <c r="H155" s="15" t="n">
        <v>1</v>
      </c>
      <c r="I155" s="19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18" t="n">
        <v>46364</v>
      </c>
      <c r="G156" s="18" t="n">
        <v>46364</v>
      </c>
      <c r="H156" s="15" t="n">
        <v>1</v>
      </c>
      <c r="I156" s="19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18" t="n">
        <v>46363</v>
      </c>
      <c r="G157" s="18" t="n">
        <v>46367</v>
      </c>
      <c r="H157" s="15" t="n">
        <v>5</v>
      </c>
      <c r="I157" s="19">
        <f>ROUND(SUMPRODUCT(($C$4:$C$164=3)*(LEFT($A$4:$A$164,LEN(A157))=A157)*$I$4:$I$164),2)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18" t="n">
        <v>46363</v>
      </c>
      <c r="G158" s="18" t="n">
        <v>46363</v>
      </c>
      <c r="H158" s="15" t="n">
        <v>1</v>
      </c>
      <c r="I158" s="19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18" t="n">
        <v>46364</v>
      </c>
      <c r="G159" s="18" t="n">
        <v>46364</v>
      </c>
      <c r="H159" s="15" t="n">
        <v>1</v>
      </c>
      <c r="I159" s="19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18" t="n">
        <v>46365</v>
      </c>
      <c r="G160" s="18" t="n">
        <v>46366</v>
      </c>
      <c r="H160" s="15" t="n">
        <v>2</v>
      </c>
      <c r="I160" s="19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18" t="n">
        <v>46367</v>
      </c>
      <c r="G161" s="18" t="n">
        <v>46367</v>
      </c>
      <c r="H161" s="15" t="n">
        <v>1</v>
      </c>
      <c r="I161" s="19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18" t="n">
        <v>46365</v>
      </c>
      <c r="G162" s="18" t="n">
        <v>46367</v>
      </c>
      <c r="H162" s="15" t="n">
        <v>3</v>
      </c>
      <c r="I162" s="19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12/9~12/11值守窗口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18" t="n">
        <v>46367</v>
      </c>
      <c r="G163" s="18" t="n">
        <v>46367</v>
      </c>
      <c r="H163" s="15" t="n">
        <v>1</v>
      </c>
      <c r="I163" s="19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26" t="n">
        <v>46367</v>
      </c>
      <c r="G164" s="26" t="n">
        <v>46367</v>
      </c>
      <c r="H164" s="23" t="n">
        <v>1</v>
      </c>
      <c r="I164" s="27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12/11项目结束；工作量计入1.3.1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2026/11/27（周五）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2026/12/04（周五）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2026/12/11（周五）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19" t="n">
        <v>15</v>
      </c>
      <c r="C3" s="19" t="n"/>
      <c r="D3" s="19" t="n"/>
      <c r="E3" s="19" t="n"/>
      <c r="F3" s="19" t="n"/>
      <c r="G3" s="19" t="n"/>
      <c r="H3" s="19" t="n"/>
      <c r="I3" s="19" t="n"/>
      <c r="J3" s="37" t="n">
        <v>15</v>
      </c>
      <c r="K3" t="inlineStr">
        <is>
          <t>15人天贯穿式分布：启动1+周例会6+每日同步2+进度风险跟踪2.5+里程碑评审2.5+收尾1（12/11）</t>
        </is>
      </c>
    </row>
    <row r="4">
      <c r="A4" s="36" t="inlineStr">
        <is>
          <t>Mandy</t>
        </is>
      </c>
      <c r="B4" s="19" t="n">
        <v>2</v>
      </c>
      <c r="C4" s="19" t="n">
        <v>14.5</v>
      </c>
      <c r="D4" s="19" t="n"/>
      <c r="E4" s="19" t="n">
        <v>8.5</v>
      </c>
      <c r="F4" s="19" t="n">
        <v>14.5</v>
      </c>
      <c r="G4" s="19" t="n">
        <v>8.5</v>
      </c>
      <c r="H4" s="19" t="n">
        <v>5</v>
      </c>
      <c r="I4" s="19" t="n">
        <v>3.5</v>
      </c>
      <c r="J4" s="37" t="n">
        <v>56.5</v>
      </c>
      <c r="K4" t="inlineStr">
        <is>
          <t>负荷率 96%（59个工作日）</t>
        </is>
      </c>
    </row>
    <row r="5">
      <c r="A5" s="36" t="inlineStr">
        <is>
          <t>Wade</t>
        </is>
      </c>
      <c r="B5" s="19" t="n"/>
      <c r="C5" s="19" t="n"/>
      <c r="D5" s="19" t="n">
        <v>13</v>
      </c>
      <c r="E5" s="19" t="n">
        <v>10</v>
      </c>
      <c r="F5" s="19" t="n">
        <v>14.5</v>
      </c>
      <c r="G5" s="19" t="n">
        <v>10</v>
      </c>
      <c r="H5" s="19" t="n">
        <v>4.5</v>
      </c>
      <c r="I5" s="19" t="n">
        <v>5</v>
      </c>
      <c r="J5" s="37" t="n">
        <v>57</v>
      </c>
      <c r="K5" t="inlineStr">
        <is>
          <t>负荷率 97%（59个工作日）</t>
        </is>
      </c>
    </row>
    <row r="6">
      <c r="A6" s="36" t="inlineStr">
        <is>
          <t>DevB</t>
        </is>
      </c>
      <c r="B6" s="19" t="n"/>
      <c r="C6" s="19" t="n"/>
      <c r="D6" s="19" t="n">
        <v>14</v>
      </c>
      <c r="E6" s="19" t="n">
        <v>10</v>
      </c>
      <c r="F6" s="19" t="n">
        <v>14.5</v>
      </c>
      <c r="G6" s="19" t="n">
        <v>10</v>
      </c>
      <c r="H6" s="19" t="n">
        <v>4.5</v>
      </c>
      <c r="I6" s="19" t="n">
        <v>5</v>
      </c>
      <c r="J6" s="37" t="n">
        <v>58</v>
      </c>
      <c r="K6" t="inlineStr">
        <is>
          <t>负荷率 98%（59个工作日）</t>
        </is>
      </c>
    </row>
    <row r="7">
      <c r="A7" s="38" t="inlineStr">
        <is>
          <t>合计</t>
        </is>
      </c>
      <c r="J7" s="39" t="n">
        <v>186.5</v>
      </c>
      <c r="K7" t="inlineStr">
        <is>
          <t>原角色表估算185人天（含交付15）；本版186.5人天，新增项目初始化/非功能专项/会议纪要显式化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2026/12/11（周五）：89个自然日，59个工作日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11/25确认（6.3.4），12/3 UAT执行；责任人Mandy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12/4前完成审批，12/7生产部署（8.1.1）；责任人Mark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1:K11"/>
    <mergeCell ref="B14:K14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4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4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19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19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19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19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19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19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2026-09-01T08:30:27Z</dcterms:created>
  <dcterms:modified xsi:type="dcterms:W3CDTF">2026-09-01T08:30:27Z</dcterms:modified>
</cp:coreProperties>
</file>