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非功能与工程支撑×21子任务（N1框架初始化与基座/N2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Blob原生能力（GRS）：仅配置冗余选项+恢复演练验证，开发量极小；11/9完成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>
        <f>ROUND(E3+G3+I3+K3+M3,2)</f>
        <v/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>
        <f>ROUND(E6+G6+I6+K6+M6,2)</f>
        <v/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>
        <f>ROUND(E7+G7+I7+K7+M7,2)</f>
        <v/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>
        <f>ROUND(E8+G8+I8+K8+M8,2)</f>
        <v/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>
        <f>ROUND(E9+G9+I9+K9+M9,2)</f>
        <v/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>
        <f>ROUND(E10+G10+I10+K10+M10,2)</f>
        <v/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>
        <f>ROUND(E11+G11+I11+K11+M11,2)</f>
        <v/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>
        <f>ROUND(E12+G12+I12+K12+M12,2)</f>
        <v/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>
        <f>ROUND(E13+G13+I13+K13+M13,2)</f>
        <v/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>
        <f>ROUND(E14+G14+I14+K14+M14,2)</f>
        <v/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>
        <f>ROUND(E16+G16+I16+K16+M16,2)</f>
        <v/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>
        <f>ROUND(E17+G17+I17+K17+M17,2)</f>
        <v/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>
        <f>ROUND(E18+G18+I18+K18+M18,2)</f>
        <v/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>
        <f>ROUND(E19+G19+I19+K19+M19,2)</f>
        <v/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>
        <f>ROUND(E20+G20+I20+K20+M20,2)</f>
        <v/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>
        <f>ROUND(E21+G21+I21+K21+M21,2)</f>
        <v/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>
        <f>ROUND(E22+G22+I22+K22+M22,2)</f>
        <v/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>
        <f>ROUND(E23+G23+I23+K23+M23,2)</f>
        <v/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>
        <f>ROUND(E24+G24+I24+K24+M24,2)</f>
        <v/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>
        <f>ROUND(E27+G27+I27+K27+M27,2)</f>
        <v/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>
        <f>ROUND(E28+G28+I28+K28+M28,2)</f>
        <v/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>
        <f>ROUND(E29+G29+I29+K29+M29,2)</f>
        <v/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>
        <f>ROUND(E30+G30+I30+K30+M30,2)</f>
        <v/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>
        <f>ROUND(E31+G31+I31+K31+M31,2)</f>
        <v/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>
        <f>ROUND(E32+G32+I32+K32+M32,2)</f>
        <v/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>
        <f>ROUND(E33+G33+I33+K33+M33,2)</f>
        <v/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>
        <f>ROUND(E34+G34+I34+K34+M34,2)</f>
        <v/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>
        <f>ROUND(E35+G35+I35+K35+M35,2)</f>
        <v/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>
        <f>ROUND(E36+G36+I36+K36+M36,2)</f>
        <v/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>
        <f>ROUND(E37+G37+I37+K37+M37+15.0,2)</f>
        <v/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0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非功能与工程支撑×21子任务（F04-04异地灾备=Azure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Helm发布包与values</t>
        </is>
      </c>
      <c r="E90" s="32" t="inlineStr">
        <is>
          <t>生产values/镜像标签策略/发布Runbook</t>
        </is>
      </c>
      <c r="F90" s="46" t="n"/>
      <c r="G90" s="46" t="n">
        <v>1</v>
      </c>
      <c r="H90" s="46" t="n">
        <v>0.25</v>
      </c>
      <c r="I90" s="46" t="n"/>
      <c r="J90" s="86" t="n">
        <v>0.5</v>
      </c>
      <c r="K90" s="46">
        <f>ROUND(SUM(F90:I90),2)</f>
        <v/>
      </c>
      <c r="L90" s="86">
        <f>ROUND(SUM(F90:I92)+J90,2)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部署预演与回退预案</t>
        </is>
      </c>
      <c r="E91" s="32" t="inlineStr">
        <is>
          <t>Staging完整演练、回退验证</t>
        </is>
      </c>
      <c r="F91" s="46" t="n"/>
      <c r="G91" s="46" t="n">
        <v>1</v>
      </c>
      <c r="H91" s="46" t="n">
        <v>0.5</v>
      </c>
      <c r="I91" s="46" t="n">
        <v>0.25</v>
      </c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3" t="n"/>
      <c r="D92" s="32" t="inlineStr">
        <is>
          <t>上线值守与运维交接</t>
        </is>
      </c>
      <c r="E92" s="32" t="inlineStr">
        <is>
          <t>上线窗口值守、运维交接与培训材料</t>
        </is>
      </c>
      <c r="F92" s="46" t="n"/>
      <c r="G92" s="46" t="n">
        <v>1</v>
      </c>
      <c r="H92" s="46" t="n">
        <v>1</v>
      </c>
      <c r="I92" s="46" t="n"/>
      <c r="J92" s="103" t="n"/>
      <c r="K92" s="46">
        <f>ROUND(SUM(F92:I92),2)</f>
        <v/>
      </c>
      <c r="L92" s="103" t="n"/>
    </row>
    <row r="93" ht="26" customHeight="1">
      <c r="A93" s="15" t="inlineStr">
        <is>
          <t>N5-1</t>
        </is>
      </c>
      <c r="B93" s="102" t="n"/>
      <c r="C93" s="99" t="inlineStr">
        <is>
          <t>开发侧文档（架构/设计/接口）</t>
        </is>
      </c>
      <c r="D93" s="32" t="inlineStr">
        <is>
          <t>架构与总体设计文档</t>
        </is>
      </c>
      <c r="E93" s="32" t="inlineStr">
        <is>
          <t>架构图/部署视图/ADR汇编成文（Wade提供）</t>
        </is>
      </c>
      <c r="F93" s="46" t="n"/>
      <c r="G93" s="46" t="n">
        <v>1.5</v>
      </c>
      <c r="H93" s="46" t="n"/>
      <c r="I93" s="46" t="n"/>
      <c r="J93" s="86" t="n">
        <v>0.5</v>
      </c>
      <c r="K93" s="46">
        <f>ROUND(SUM(F93:I93),2)</f>
        <v/>
      </c>
      <c r="L93" s="86">
        <f>ROUND(SUM(F93:I95)+J93,2)</f>
        <v/>
      </c>
    </row>
    <row r="94" ht="26" customHeight="1">
      <c r="A94" s="15" t="inlineStr">
        <is>
          <t>N5-2</t>
        </is>
      </c>
      <c r="B94" s="102" t="n"/>
      <c r="C94" s="102" t="n"/>
      <c r="D94" s="32" t="inlineStr">
        <is>
          <t>应用接口与模块设计文档</t>
        </is>
      </c>
      <c r="E94" s="32" t="inlineStr">
        <is>
          <t>OpenAPI导出+模块设计说明（Wade提供）</t>
        </is>
      </c>
      <c r="F94" s="46" t="n"/>
      <c r="G94" s="46" t="n">
        <v>1</v>
      </c>
      <c r="H94" s="46" t="n"/>
      <c r="I94" s="46" t="n"/>
      <c r="J94" s="102" t="n"/>
      <c r="K94" s="46">
        <f>ROUND(SUM(F94:I94),2)</f>
        <v/>
      </c>
      <c r="L94" s="102" t="n"/>
    </row>
    <row r="95" ht="26" customHeight="1">
      <c r="A95" s="15" t="inlineStr">
        <is>
          <t>N5-3</t>
        </is>
      </c>
      <c r="B95" s="103" t="n"/>
      <c r="C95" s="103" t="n"/>
      <c r="D95" s="32" t="inlineStr">
        <is>
          <t>数据设计与ETL/作业文档</t>
        </is>
      </c>
      <c r="E95" s="32" t="inlineStr">
        <is>
          <t>分层设计/数据字典/ETL与作业说明（DevB提供）</t>
        </is>
      </c>
      <c r="F95" s="46" t="n"/>
      <c r="G95" s="46" t="n"/>
      <c r="H95" s="46" t="n">
        <v>2</v>
      </c>
      <c r="I95" s="46" t="n"/>
      <c r="J95" s="103" t="n"/>
      <c r="K95" s="46">
        <f>ROUND(SUM(F95:I95),2)</f>
        <v/>
      </c>
      <c r="L95" s="103" t="n"/>
    </row>
    <row r="96">
      <c r="A96" s="8" t="inlineStr"/>
      <c r="B96" s="8" t="inlineStr">
        <is>
          <t>总计</t>
        </is>
      </c>
      <c r="C96" s="8" t="inlineStr"/>
      <c r="D96" s="93" t="inlineStr">
        <is>
          <t>25项功能×72子任务 + 非功能工程×21子任务（F04-04=Azure原生能力，不计开发）</t>
        </is>
      </c>
      <c r="E96" s="93" t="inlineStr">
        <is>
          <t>独立直估（另含少量需求/PM等工作未列入本表）</t>
        </is>
      </c>
      <c r="F96" s="44">
        <f>ROUND(SUM(F3:F95),2)</f>
        <v/>
      </c>
      <c r="G96" s="44">
        <f>ROUND(SUM(G3:G95),2)</f>
        <v/>
      </c>
      <c r="H96" s="44">
        <f>ROUND(SUM(H3:H95),2)</f>
        <v/>
      </c>
      <c r="I96" s="44">
        <f>ROUND(SUM(I3:I95),2)</f>
        <v/>
      </c>
      <c r="J96" s="44">
        <f>ROUND(SUM(J3:J95),2)</f>
        <v/>
      </c>
      <c r="K96" s="44">
        <f>ROUND(SUM(F96:J96),2)</f>
        <v/>
      </c>
      <c r="L96" s="8" t="inlineStr"/>
    </row>
    <row r="98" ht="56" customHeight="1">
      <c r="A98" s="94" t="inlineStr">
        <is>
          <t>对照说明（四个口径）：① 功能直估 155.0 人天（BA 12.25 / Wade 41.75 / DevB 54.75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195.0 人天 vs 计划185：Wade 60.75（计划60，有余量）；DevB 69.25（超计划60约9.25）；Mandy三职 65.0（BA 12.5 + 测试 38.75 + SLC 13.75，超计划50约15.0）——角色级差异的吸收路径见下方「AI Native提效折算对照」。</t>
        </is>
      </c>
    </row>
    <row r="100" ht="16" customHeight="1">
      <c r="A100" s="114" t="inlineStr">
        <is>
          <t>AI Native提效折算对照（直估→计划185的吸收路径）：</t>
        </is>
      </c>
    </row>
    <row r="101" ht="16" customHeight="1">
      <c r="A101" s="115" t="inlineStr">
        <is>
          <t>· Mandy：直估 65.0（BA 12.5 + 测试 38.75 + SLC 13.75，SLC已按功能级预估且开发侧文档移至N5）→ 测试×0.65（AI生成用例+人工审校执行）、SLC×0.8（合稿评审）、BA不折减 → ≈48.69 ≈ 计划50 ✓</t>
        </is>
      </c>
    </row>
    <row r="102" ht="16" customHeight="1">
      <c r="A102" s="115" t="inlineStr">
        <is>
          <t>· Wade：直估 60.75（含N5开发侧文档2.5）≈ 计划60，基本持平 ✓</t>
        </is>
      </c>
    </row>
    <row r="103" ht="16" customHeight="1">
      <c r="A103" s="115" t="inlineStr">
        <is>
          <t>· DevB：直估 69.25 → ETL/SQL/作业配置AI生成×0.85 → ≈58.86 ≈ 计划60 ✓（最大风险假设：AI生成ETL需有效落地，纳入风险跟踪）</t>
        </is>
      </c>
    </row>
    <row r="104" ht="16" customHeight="1">
      <c r="A104" s="115" t="inlineStr">
        <is>
          <t>· 合计：直估 195.0 → 折算 ≈168.3 + PM 15 = 183.3 ≤ 185，余 ≈1.7 人天缓冲；若提效不达标，启用备用赶工日（9/20、10/10）</t>
        </is>
      </c>
    </row>
  </sheetData>
  <mergeCells count="105">
    <mergeCell ref="J35:J37"/>
    <mergeCell ref="C14:C17"/>
    <mergeCell ref="L35:L37"/>
    <mergeCell ref="L44:L46"/>
    <mergeCell ref="C23:C25"/>
    <mergeCell ref="C32:C34"/>
    <mergeCell ref="J59:J60"/>
    <mergeCell ref="C38:C40"/>
    <mergeCell ref="B63:B74"/>
    <mergeCell ref="C71:C72"/>
    <mergeCell ref="B75:B95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93:C95"/>
    <mergeCell ref="C44:C46"/>
    <mergeCell ref="J51:J52"/>
    <mergeCell ref="J73:J74"/>
    <mergeCell ref="L38:L40"/>
    <mergeCell ref="J32:J34"/>
    <mergeCell ref="J26:J28"/>
    <mergeCell ref="L66:L67"/>
    <mergeCell ref="L26:L28"/>
    <mergeCell ref="L63:L65"/>
    <mergeCell ref="L41:L43"/>
    <mergeCell ref="J90:J92"/>
    <mergeCell ref="J10:J13"/>
    <mergeCell ref="L90:L92"/>
    <mergeCell ref="J49:J50"/>
    <mergeCell ref="J18:J20"/>
    <mergeCell ref="A104:L104"/>
    <mergeCell ref="C47:C48"/>
    <mergeCell ref="C51:C52"/>
    <mergeCell ref="J44:J46"/>
    <mergeCell ref="J53:J55"/>
    <mergeCell ref="L53:L55"/>
    <mergeCell ref="J21:J22"/>
    <mergeCell ref="L21:L22"/>
    <mergeCell ref="L93:L95"/>
    <mergeCell ref="B3:B22"/>
    <mergeCell ref="C26:C28"/>
    <mergeCell ref="L3:L9"/>
    <mergeCell ref="C90:C92"/>
    <mergeCell ref="L29:L31"/>
    <mergeCell ref="C49:C50"/>
    <mergeCell ref="J14:J17"/>
    <mergeCell ref="L23:L25"/>
    <mergeCell ref="C73:C74"/>
    <mergeCell ref="L71:L72"/>
    <mergeCell ref="L56:L58"/>
    <mergeCell ref="C59:C60"/>
    <mergeCell ref="C53:C55"/>
    <mergeCell ref="J56:J58"/>
    <mergeCell ref="C21:C22"/>
    <mergeCell ref="C68:C70"/>
    <mergeCell ref="L80:L84"/>
    <mergeCell ref="L10:L13"/>
    <mergeCell ref="J66:J67"/>
    <mergeCell ref="B56:B62"/>
    <mergeCell ref="C29:C31"/>
    <mergeCell ref="L59:L60"/>
    <mergeCell ref="A98:L98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A101:L101"/>
    <mergeCell ref="J75:J79"/>
    <mergeCell ref="L73:L74"/>
    <mergeCell ref="B29:B34"/>
    <mergeCell ref="J23:J25"/>
    <mergeCell ref="B23:B28"/>
    <mergeCell ref="L32:L34"/>
    <mergeCell ref="C61:C62"/>
    <mergeCell ref="L51:L52"/>
    <mergeCell ref="C3:C9"/>
    <mergeCell ref="L49:L50"/>
    <mergeCell ref="J93:J95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$164=3)*('WBS分解'!$E$4:$E$164="Mark")*(LEFT('WBS分解'!$A$4:$A$164,1)="1")*'WBS分解'!$I$4:$I$164),2)=0,"",ROUND(SUMPRODUCT(('WBS分解'!$C$4:$C$164=3)*('WBS分解'!$E$4:$E$164="Mark")*(LEFT('WBS分解'!$A$4:$A$164,1)="1")*'WBS分解'!$I$4:$I$164),2))</f>
        <v/>
      </c>
      <c r="C3" s="46">
        <f>IF(ROUND(SUMPRODUCT(('WBS分解'!$C$4:$C$164=3)*('WBS分解'!$E$4:$E$164="Mark")*(LEFT('WBS分解'!$A$4:$A$164,1)="2")*'WBS分解'!$I$4:$I$164),2)=0,"",ROUND(SUMPRODUCT(('WBS分解'!$C$4:$C$164=3)*('WBS分解'!$E$4:$E$164="Mark")*(LEFT('WBS分解'!$A$4:$A$164,1)="2")*'WBS分解'!$I$4:$I$164),2))</f>
        <v/>
      </c>
      <c r="D3" s="46">
        <f>IF(ROUND(SUMPRODUCT(('WBS分解'!$C$4:$C$164=3)*('WBS分解'!$E$4:$E$164="Mark")*(LEFT('WBS分解'!$A$4:$A$164,1)="3")*'WBS分解'!$I$4:$I$164),2)=0,"",ROUND(SUMPRODUCT(('WBS分解'!$C$4:$C$164=3)*('WBS分解'!$E$4:$E$164="Mark")*(LEFT('WBS分解'!$A$4:$A$164,1)="3")*'WBS分解'!$I$4:$I$164),2))</f>
        <v/>
      </c>
      <c r="E3" s="46">
        <f>IF(ROUND(SUMPRODUCT(('WBS分解'!$C$4:$C$164=3)*('WBS分解'!$E$4:$E$164="Mark")*(LEFT('WBS分解'!$A$4:$A$164,1)="4")*'WBS分解'!$I$4:$I$164),2)=0,"",ROUND(SUMPRODUCT(('WBS分解'!$C$4:$C$164=3)*('WBS分解'!$E$4:$E$164="Mark")*(LEFT('WBS分解'!$A$4:$A$164,1)="4")*'WBS分解'!$I$4:$I$164),2))</f>
        <v/>
      </c>
      <c r="F3" s="46">
        <f>IF(ROUND(SUMPRODUCT(('WBS分解'!$C$4:$C$164=3)*('WBS分解'!$E$4:$E$164="Mark")*(LEFT('WBS分解'!$A$4:$A$164,1)="5")*'WBS分解'!$I$4:$I$164),2)=0,"",ROUND(SUMPRODUCT(('WBS分解'!$C$4:$C$164=3)*('WBS分解'!$E$4:$E$164="Mark")*(LEFT('WBS分解'!$A$4:$A$164,1)="5")*'WBS分解'!$I$4:$I$164),2))</f>
        <v/>
      </c>
      <c r="G3" s="46">
        <f>IF(ROUND(SUMPRODUCT(('WBS分解'!$C$4:$C$164=3)*('WBS分解'!$E$4:$E$164="Mark")*(LEFT('WBS分解'!$A$4:$A$164,1)="6")*'WBS分解'!$I$4:$I$164),2)=0,"",ROUND(SUMPRODUCT(('WBS分解'!$C$4:$C$164=3)*('WBS分解'!$E$4:$E$164="Mark")*(LEFT('WBS分解'!$A$4:$A$164,1)="6")*'WBS分解'!$I$4:$I$164),2))</f>
        <v/>
      </c>
      <c r="H3" s="46">
        <f>IF(ROUND(SUMPRODUCT(('WBS分解'!$C$4:$C$164=3)*('WBS分解'!$E$4:$E$164="Mark")*(LEFT('WBS分解'!$A$4:$A$164,1)="7")*'WBS分解'!$I$4:$I$164),2)=0,"",ROUND(SUMPRODUCT(('WBS分解'!$C$4:$C$164=3)*('WBS分解'!$E$4:$E$164="Mark")*(LEFT('WBS分解'!$A$4:$A$164,1)="7")*'WBS分解'!$I$4:$I$164),2))</f>
        <v/>
      </c>
      <c r="I3" s="46">
        <f>IF(ROUND(SUMPRODUCT(('WBS分解'!$C$4:$C$164=3)*('WBS分解'!$E$4:$E$164="Mark")*(LEFT('WBS分解'!$A$4:$A$164,1)="8")*'WBS分解'!$I$4:$I$164),2)=0,"",ROUND(SUMPRODUCT(('WBS分解'!$C$4:$C$164=3)*('WBS分解'!$E$4:$E$164="Mark")*(LEFT('WBS分解'!$A$4:$A$164,1)="8")*'WBS分解'!$I$4:$I$164),2))</f>
        <v/>
      </c>
      <c r="J3" s="69">
        <f>ROUND(SUM(B3:I3),2)</f>
        <v/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>
        <f>IF(ROUND(SUMPRODUCT(('WBS分解'!$C$4:$C$164=3)*('WBS分解'!$E$4:$E$164="Mandy")*(LEFT('WBS分解'!$A$4:$A$164,1)="1")*'WBS分解'!$I$4:$I$164),2)=0,"",ROUND(SUMPRODUCT(('WBS分解'!$C$4:$C$164=3)*('WBS分解'!$E$4:$E$164="Mandy")*(LEFT('WBS分解'!$A$4:$A$164,1)="1")*'WBS分解'!$I$4:$I$164),2))</f>
        <v/>
      </c>
      <c r="C4" s="46">
        <f>IF(ROUND(SUMPRODUCT(('WBS分解'!$C$4:$C$164=3)*('WBS分解'!$E$4:$E$164="Mandy")*(LEFT('WBS分解'!$A$4:$A$164,1)="2")*'WBS分解'!$I$4:$I$164),2)=0,"",ROUND(SUMPRODUCT(('WBS分解'!$C$4:$C$164=3)*('WBS分解'!$E$4:$E$164="Mandy")*(LEFT('WBS分解'!$A$4:$A$164,1)="2")*'WBS分解'!$I$4:$I$164),2))</f>
        <v/>
      </c>
      <c r="D4" s="46">
        <f>IF(ROUND(SUMPRODUCT(('WBS分解'!$C$4:$C$164=3)*('WBS分解'!$E$4:$E$164="Mandy")*(LEFT('WBS分解'!$A$4:$A$164,1)="3")*'WBS分解'!$I$4:$I$164),2)=0,"",ROUND(SUMPRODUCT(('WBS分解'!$C$4:$C$164=3)*('WBS分解'!$E$4:$E$164="Mandy")*(LEFT('WBS分解'!$A$4:$A$164,1)="3")*'WBS分解'!$I$4:$I$164),2))</f>
        <v/>
      </c>
      <c r="E4" s="46">
        <f>IF(ROUND(SUMPRODUCT(('WBS分解'!$C$4:$C$164=3)*('WBS分解'!$E$4:$E$164="Mandy")*(LEFT('WBS分解'!$A$4:$A$164,1)="4")*'WBS分解'!$I$4:$I$164),2)=0,"",ROUND(SUMPRODUCT(('WBS分解'!$C$4:$C$164=3)*('WBS分解'!$E$4:$E$164="Mandy")*(LEFT('WBS分解'!$A$4:$A$164,1)="4")*'WBS分解'!$I$4:$I$164),2))</f>
        <v/>
      </c>
      <c r="F4" s="46">
        <f>IF(ROUND(SUMPRODUCT(('WBS分解'!$C$4:$C$164=3)*('WBS分解'!$E$4:$E$164="Mandy")*(LEFT('WBS分解'!$A$4:$A$164,1)="5")*'WBS分解'!$I$4:$I$164),2)=0,"",ROUND(SUMPRODUCT(('WBS分解'!$C$4:$C$164=3)*('WBS分解'!$E$4:$E$164="Mandy")*(LEFT('WBS分解'!$A$4:$A$164,1)="5")*'WBS分解'!$I$4:$I$164),2))</f>
        <v/>
      </c>
      <c r="G4" s="46">
        <f>IF(ROUND(SUMPRODUCT(('WBS分解'!$C$4:$C$164=3)*('WBS分解'!$E$4:$E$164="Mandy")*(LEFT('WBS分解'!$A$4:$A$164,1)="6")*'WBS分解'!$I$4:$I$164),2)=0,"",ROUND(SUMPRODUCT(('WBS分解'!$C$4:$C$164=3)*('WBS分解'!$E$4:$E$164="Mandy")*(LEFT('WBS分解'!$A$4:$A$164,1)="6")*'WBS分解'!$I$4:$I$164),2))</f>
        <v/>
      </c>
      <c r="H4" s="46">
        <f>IF(ROUND(SUMPRODUCT(('WBS分解'!$C$4:$C$164=3)*('WBS分解'!$E$4:$E$164="Mandy")*(LEFT('WBS分解'!$A$4:$A$164,1)="7")*'WBS分解'!$I$4:$I$164),2)=0,"",ROUND(SUMPRODUCT(('WBS分解'!$C$4:$C$164=3)*('WBS分解'!$E$4:$E$164="Mandy")*(LEFT('WBS分解'!$A$4:$A$164,1)="7")*'WBS分解'!$I$4:$I$164),2))</f>
        <v/>
      </c>
      <c r="I4" s="46">
        <f>IF(ROUND(SUMPRODUCT(('WBS分解'!$C$4:$C$164=3)*('WBS分解'!$E$4:$E$164="Mandy")*(LEFT('WBS分解'!$A$4:$A$164,1)="8")*'WBS分解'!$I$4:$I$164),2)=0,"",ROUND(SUMPRODUCT(('WBS分解'!$C$4:$C$164=3)*('WBS分解'!$E$4:$E$164="Mandy")*(LEFT('WBS分解'!$A$4:$A$164,1)="8")*'WBS分解'!$I$4:$I$164),2))</f>
        <v/>
      </c>
      <c r="J4" s="69">
        <f>ROUND(SUM(B4:I4),2)</f>
        <v/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>
        <f>IF(ROUND(SUMPRODUCT(('WBS分解'!$C$4:$C$164=3)*('WBS分解'!$E$4:$E$164="Wade")*(LEFT('WBS分解'!$A$4:$A$164,1)="1")*'WBS分解'!$I$4:$I$164),2)=0,"",ROUND(SUMPRODUCT(('WBS分解'!$C$4:$C$164=3)*('WBS分解'!$E$4:$E$164="Wade")*(LEFT('WBS分解'!$A$4:$A$164,1)="1")*'WBS分解'!$I$4:$I$164),2))</f>
        <v/>
      </c>
      <c r="C5" s="46">
        <f>IF(ROUND(SUMPRODUCT(('WBS分解'!$C$4:$C$164=3)*('WBS分解'!$E$4:$E$164="Wade")*(LEFT('WBS分解'!$A$4:$A$164,1)="2")*'WBS分解'!$I$4:$I$164),2)=0,"",ROUND(SUMPRODUCT(('WBS分解'!$C$4:$C$164=3)*('WBS分解'!$E$4:$E$164="Wade")*(LEFT('WBS分解'!$A$4:$A$164,1)="2")*'WBS分解'!$I$4:$I$164),2))</f>
        <v/>
      </c>
      <c r="D5" s="46">
        <f>IF(ROUND(SUMPRODUCT(('WBS分解'!$C$4:$C$164=3)*('WBS分解'!$E$4:$E$164="Wade")*(LEFT('WBS分解'!$A$4:$A$164,1)="3")*'WBS分解'!$I$4:$I$164),2)=0,"",ROUND(SUMPRODUCT(('WBS分解'!$C$4:$C$164=3)*('WBS分解'!$E$4:$E$164="Wade")*(LEFT('WBS分解'!$A$4:$A$164,1)="3")*'WBS分解'!$I$4:$I$164),2))</f>
        <v/>
      </c>
      <c r="E5" s="46">
        <f>IF(ROUND(SUMPRODUCT(('WBS分解'!$C$4:$C$164=3)*('WBS分解'!$E$4:$E$164="Wade")*(LEFT('WBS分解'!$A$4:$A$164,1)="4")*'WBS分解'!$I$4:$I$164),2)=0,"",ROUND(SUMPRODUCT(('WBS分解'!$C$4:$C$164=3)*('WBS分解'!$E$4:$E$164="Wade")*(LEFT('WBS分解'!$A$4:$A$164,1)="4")*'WBS分解'!$I$4:$I$164),2))</f>
        <v/>
      </c>
      <c r="F5" s="46">
        <f>IF(ROUND(SUMPRODUCT(('WBS分解'!$C$4:$C$164=3)*('WBS分解'!$E$4:$E$164="Wade")*(LEFT('WBS分解'!$A$4:$A$164,1)="5")*'WBS分解'!$I$4:$I$164),2)=0,"",ROUND(SUMPRODUCT(('WBS分解'!$C$4:$C$164=3)*('WBS分解'!$E$4:$E$164="Wade")*(LEFT('WBS分解'!$A$4:$A$164,1)="5")*'WBS分解'!$I$4:$I$164),2))</f>
        <v/>
      </c>
      <c r="G5" s="46">
        <f>IF(ROUND(SUMPRODUCT(('WBS分解'!$C$4:$C$164=3)*('WBS分解'!$E$4:$E$164="Wade")*(LEFT('WBS分解'!$A$4:$A$164,1)="6")*'WBS分解'!$I$4:$I$164),2)=0,"",ROUND(SUMPRODUCT(('WBS分解'!$C$4:$C$164=3)*('WBS分解'!$E$4:$E$164="Wade")*(LEFT('WBS分解'!$A$4:$A$164,1)="6")*'WBS分解'!$I$4:$I$164),2))</f>
        <v/>
      </c>
      <c r="H5" s="46">
        <f>IF(ROUND(SUMPRODUCT(('WBS分解'!$C$4:$C$164=3)*('WBS分解'!$E$4:$E$164="Wade")*(LEFT('WBS分解'!$A$4:$A$164,1)="7")*'WBS分解'!$I$4:$I$164),2)=0,"",ROUND(SUMPRODUCT(('WBS分解'!$C$4:$C$164=3)*('WBS分解'!$E$4:$E$164="Wade")*(LEFT('WBS分解'!$A$4:$A$164,1)="7")*'WBS分解'!$I$4:$I$164),2))</f>
        <v/>
      </c>
      <c r="I5" s="46">
        <f>IF(ROUND(SUMPRODUCT(('WBS分解'!$C$4:$C$164=3)*('WBS分解'!$E$4:$E$164="Wade")*(LEFT('WBS分解'!$A$4:$A$164,1)="8")*'WBS分解'!$I$4:$I$164),2)=0,"",ROUND(SUMPRODUCT(('WBS分解'!$C$4:$C$164=3)*('WBS分解'!$E$4:$E$164="Wade")*(LEFT('WBS分解'!$A$4:$A$164,1)="8")*'WBS分解'!$I$4:$I$164),2))</f>
        <v/>
      </c>
      <c r="J5" s="69">
        <f>ROUND(SUM(B5:I5),2)</f>
        <v/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>
        <f>IF(ROUND(SUMPRODUCT(('WBS分解'!$C$4:$C$164=3)*('WBS分解'!$E$4:$E$164="DevB")*(LEFT('WBS分解'!$A$4:$A$164,1)="1")*'WBS分解'!$I$4:$I$164),2)=0,"",ROUND(SUMPRODUCT(('WBS分解'!$C$4:$C$164=3)*('WBS分解'!$E$4:$E$164="DevB")*(LEFT('WBS分解'!$A$4:$A$164,1)="1")*'WBS分解'!$I$4:$I$164),2))</f>
        <v/>
      </c>
      <c r="C6" s="46">
        <f>IF(ROUND(SUMPRODUCT(('WBS分解'!$C$4:$C$164=3)*('WBS分解'!$E$4:$E$164="DevB")*(LEFT('WBS分解'!$A$4:$A$164,1)="2")*'WBS分解'!$I$4:$I$164),2)=0,"",ROUND(SUMPRODUCT(('WBS分解'!$C$4:$C$164=3)*('WBS分解'!$E$4:$E$164="DevB")*(LEFT('WBS分解'!$A$4:$A$164,1)="2")*'WBS分解'!$I$4:$I$164),2))</f>
        <v/>
      </c>
      <c r="D6" s="46">
        <f>IF(ROUND(SUMPRODUCT(('WBS分解'!$C$4:$C$164=3)*('WBS分解'!$E$4:$E$164="DevB")*(LEFT('WBS分解'!$A$4:$A$164,1)="3")*'WBS分解'!$I$4:$I$164),2)=0,"",ROUND(SUMPRODUCT(('WBS分解'!$C$4:$C$164=3)*('WBS分解'!$E$4:$E$164="DevB")*(LEFT('WBS分解'!$A$4:$A$164,1)="3")*'WBS分解'!$I$4:$I$164),2))</f>
        <v/>
      </c>
      <c r="E6" s="46">
        <f>IF(ROUND(SUMPRODUCT(('WBS分解'!$C$4:$C$164=3)*('WBS分解'!$E$4:$E$164="DevB")*(LEFT('WBS分解'!$A$4:$A$164,1)="4")*'WBS分解'!$I$4:$I$164),2)=0,"",ROUND(SUMPRODUCT(('WBS分解'!$C$4:$C$164=3)*('WBS分解'!$E$4:$E$164="DevB")*(LEFT('WBS分解'!$A$4:$A$164,1)="4")*'WBS分解'!$I$4:$I$164),2))</f>
        <v/>
      </c>
      <c r="F6" s="46">
        <f>IF(ROUND(SUMPRODUCT(('WBS分解'!$C$4:$C$164=3)*('WBS分解'!$E$4:$E$164="DevB")*(LEFT('WBS分解'!$A$4:$A$164,1)="5")*'WBS分解'!$I$4:$I$164),2)=0,"",ROUND(SUMPRODUCT(('WBS分解'!$C$4:$C$164=3)*('WBS分解'!$E$4:$E$164="DevB")*(LEFT('WBS分解'!$A$4:$A$164,1)="5")*'WBS分解'!$I$4:$I$164),2))</f>
        <v/>
      </c>
      <c r="G6" s="46">
        <f>IF(ROUND(SUMPRODUCT(('WBS分解'!$C$4:$C$164=3)*('WBS分解'!$E$4:$E$164="DevB")*(LEFT('WBS分解'!$A$4:$A$164,1)="6")*'WBS分解'!$I$4:$I$164),2)=0,"",ROUND(SUMPRODUCT(('WBS分解'!$C$4:$C$164=3)*('WBS分解'!$E$4:$E$164="DevB")*(LEFT('WBS分解'!$A$4:$A$164,1)="6")*'WBS分解'!$I$4:$I$164),2))</f>
        <v/>
      </c>
      <c r="H6" s="46">
        <f>IF(ROUND(SUMPRODUCT(('WBS分解'!$C$4:$C$164=3)*('WBS分解'!$E$4:$E$164="DevB")*(LEFT('WBS分解'!$A$4:$A$164,1)="7")*'WBS分解'!$I$4:$I$164),2)=0,"",ROUND(SUMPRODUCT(('WBS分解'!$C$4:$C$164=3)*('WBS分解'!$E$4:$E$164="DevB")*(LEFT('WBS分解'!$A$4:$A$164,1)="7")*'WBS分解'!$I$4:$I$164),2))</f>
        <v/>
      </c>
      <c r="I6" s="46">
        <f>IF(ROUND(SUMPRODUCT(('WBS分解'!$C$4:$C$164=3)*('WBS分解'!$E$4:$E$164="DevB")*(LEFT('WBS分解'!$A$4:$A$164,1)="8")*'WBS分解'!$I$4:$I$164),2)=0,"",ROUND(SUMPRODUCT(('WBS分解'!$C$4:$C$164=3)*('WBS分解'!$E$4:$E$164="DevB")*(LEFT('WBS分解'!$A$4:$A$164,1)="8")*'WBS分解'!$I$4:$I$164),2))</f>
        <v/>
      </c>
      <c r="J6" s="69">
        <f>ROUND(SUM(B6:I6),2)</f>
        <v/>
      </c>
      <c r="K6" t="inlineStr">
        <is>
          <t>负荷率 97%（62个工作日）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2026-09-02T06:35:41Z</dcterms:modified>
</cp:coreProperties>
</file>