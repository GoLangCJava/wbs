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WBS分解" sheetId="2" state="visible" r:id="rId2"/>
    <sheet name="26项功能覆盖对照" sheetId="3" state="visible" r:id="rId3"/>
    <sheet name="功能视角分解" sheetId="4" state="visible" r:id="rId4"/>
    <sheet name="功能拆解估算" sheetId="5" state="visible" r:id="rId5"/>
    <sheet name="里程碑计划" sheetId="6" state="visible" r:id="rId6"/>
    <sheet name="资源负荷与日历" sheetId="7" state="visible" r:id="rId7"/>
    <sheet name="WBS词典" sheetId="8" state="visible" r:id="rId8"/>
    <sheet name="进度汇总" sheetId="9" state="visible" r:id="rId9"/>
  </sheets>
  <definedNames>
    <definedName name="_xlnm._FilterDatabase" localSheetId="1" hidden="1">'WBS分解'!$A$3:$Q$164</definedName>
    <definedName name="_xlnm.Print_Titles" localSheetId="1">'WBS分解'!$1:$3</definedName>
    <definedName name="_xlnm._FilterDatabase" localSheetId="3" hidden="1">'功能视角分解'!$A$2:$P$38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/m/d"/>
    <numFmt numFmtId="165" formatCode="0.##"/>
    <numFmt numFmtId="166" formatCode="0.0%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b val="1"/>
    </font>
    <font/>
    <font>
      <b val="1"/>
      <color rgb="00FFFFFF"/>
      <sz val="16"/>
    </font>
    <font>
      <sz val="10"/>
    </font>
    <font>
      <b val="1"/>
      <color rgb="00FFFFFF"/>
    </font>
    <font>
      <b val="1"/>
      <color rgb="009C6500"/>
    </font>
    <font>
      <i val="1"/>
      <color rgb="007030A0"/>
      <sz val="9"/>
    </font>
    <font>
      <i val="1"/>
      <color rgb="00808080"/>
      <sz val="9"/>
    </font>
    <font>
      <i val="1"/>
      <color rgb="00C00000"/>
      <sz val="9"/>
    </font>
    <font>
      <b val="1"/>
      <color rgb="001F4E79"/>
      <sz val="9"/>
    </font>
    <font>
      <color rgb="001F4E79"/>
      <sz val="9"/>
    </font>
  </fonts>
  <fills count="12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EDEDF7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E7E6E6"/>
      </patternFill>
    </fill>
    <fill>
      <patternFill patternType="solid">
        <fgColor rgb="00E4DFEC"/>
      </patternFill>
    </fill>
  </fills>
  <borders count="8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center" vertical="center"/>
    </xf>
    <xf numFmtId="0" fontId="5" fillId="4" borderId="0" pivotButton="0" quotePrefix="0" xfId="0"/>
    <xf numFmtId="0" fontId="6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9" fontId="2" fillId="3" borderId="1" applyAlignment="1" pivotButton="0" quotePrefix="0" xfId="0">
      <alignment horizontal="center" vertical="center"/>
    </xf>
    <xf numFmtId="3" fontId="2" fillId="3" borderId="1" pivotButton="0" quotePrefix="0" xfId="0"/>
    <xf numFmtId="0" fontId="0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 indent="1"/>
    </xf>
    <xf numFmtId="0" fontId="0" fillId="0" borderId="1" pivotButton="0" quotePrefix="0" xfId="0"/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9" fontId="0" fillId="0" borderId="1" applyAlignment="1" pivotButton="0" quotePrefix="0" xfId="0">
      <alignment horizontal="center" vertical="center"/>
    </xf>
    <xf numFmtId="3" fontId="0" fillId="0" borderId="1" pivotButton="0" quotePrefix="0" xfId="0"/>
    <xf numFmtId="0" fontId="0" fillId="0" borderId="1" applyAlignment="1" pivotButton="0" quotePrefix="0" xfId="0">
      <alignment vertical="center" indent="2"/>
    </xf>
    <xf numFmtId="0" fontId="0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vertical="center" indent="2"/>
    </xf>
    <xf numFmtId="0" fontId="0" fillId="5" borderId="1" pivotButton="0" quotePrefix="0" xfId="0"/>
    <xf numFmtId="164" fontId="0" fillId="5" borderId="1" applyAlignment="1" pivotButton="0" quotePrefix="0" xfId="0">
      <alignment horizontal="center" vertical="center"/>
    </xf>
    <xf numFmtId="165" fontId="0" fillId="5" borderId="1" applyAlignment="1" pivotButton="0" quotePrefix="0" xfId="0">
      <alignment horizontal="center" vertical="center"/>
    </xf>
    <xf numFmtId="9" fontId="0" fillId="5" borderId="1" applyAlignment="1" pivotButton="0" quotePrefix="0" xfId="0">
      <alignment horizontal="center" vertical="center"/>
    </xf>
    <xf numFmtId="3" fontId="0" fillId="5" borderId="1" pivotButton="0" quotePrefix="0" xfId="0"/>
    <xf numFmtId="0" fontId="0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5" borderId="1" applyAlignment="1" pivotButton="0" quotePrefix="0" xfId="0">
      <alignment vertical="center" wrapText="1"/>
    </xf>
    <xf numFmtId="0" fontId="8" fillId="0" borderId="0" applyAlignment="1" pivotButton="0" quotePrefix="0" xfId="0">
      <alignment horizontal="left" vertical="center"/>
    </xf>
    <xf numFmtId="0" fontId="0" fillId="5" borderId="0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0" fontId="2" fillId="0" borderId="0" pivotButton="0" quotePrefix="0" xfId="0"/>
    <xf numFmtId="165" fontId="2" fillId="0" borderId="0" pivotButton="0" quotePrefix="0" xfId="0"/>
    <xf numFmtId="0" fontId="0" fillId="0" borderId="0" applyAlignment="1" pivotButton="0" quotePrefix="0" xfId="0">
      <alignment vertical="center" wrapText="1"/>
    </xf>
    <xf numFmtId="166" fontId="0" fillId="0" borderId="1" applyAlignment="1" pivotButton="0" quotePrefix="0" xfId="0">
      <alignment horizontal="center" vertical="center"/>
    </xf>
    <xf numFmtId="0" fontId="9" fillId="0" borderId="0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165" fontId="0" fillId="5" borderId="1" applyAlignment="1" pivotButton="0" quotePrefix="0" xfId="0">
      <alignment horizontal="center" vertical="center"/>
    </xf>
    <xf numFmtId="165" fontId="0" fillId="6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0" fillId="7" borderId="1" applyAlignment="1" pivotButton="0" quotePrefix="0" xfId="0">
      <alignment vertical="center" wrapText="1"/>
    </xf>
    <xf numFmtId="165" fontId="0" fillId="7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 wrapText="1"/>
    </xf>
    <xf numFmtId="165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vertical="center" wrapText="1"/>
    </xf>
    <xf numFmtId="165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0" borderId="1" applyAlignment="1" pivotButton="0" quotePrefix="0" xfId="0">
      <alignment vertical="center" wrapText="1"/>
    </xf>
    <xf numFmtId="165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0" fontId="0" fillId="11" borderId="1" applyAlignment="1" pivotButton="0" quotePrefix="0" xfId="0">
      <alignment vertical="center" wrapText="1"/>
    </xf>
    <xf numFmtId="165" fontId="0" fillId="11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vertical="center" wrapText="1"/>
    </xf>
    <xf numFmtId="165" fontId="0" fillId="4" borderId="1" applyAlignment="1" pivotButton="0" quotePrefix="0" xfId="0">
      <alignment horizontal="center" vertical="center"/>
    </xf>
    <xf numFmtId="0" fontId="10" fillId="0" borderId="0" pivotButton="0" quotePrefix="0" xfId="0"/>
    <xf numFmtId="165" fontId="2" fillId="0" borderId="1" applyAlignment="1" pivotButton="0" quotePrefix="0" xfId="0">
      <alignment horizontal="center" vertical="center"/>
    </xf>
    <xf numFmtId="165" fontId="2" fillId="0" borderId="0" pivotButton="0" quotePrefix="0" xfId="0"/>
    <xf numFmtId="166" fontId="0" fillId="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2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/>
    </xf>
    <xf numFmtId="165" fontId="2" fillId="7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165" fontId="2" fillId="5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left" vertical="center"/>
    </xf>
    <xf numFmtId="165" fontId="2" fillId="8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left" vertical="center"/>
    </xf>
    <xf numFmtId="165" fontId="2" fillId="9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left" vertical="center"/>
    </xf>
    <xf numFmtId="165" fontId="2" fillId="10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65" fontId="2" fillId="11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10" fillId="0" borderId="0" applyAlignment="1" pivotButton="0" quotePrefix="0" xfId="0">
      <alignment vertical="top" wrapText="1"/>
    </xf>
    <xf numFmtId="0" fontId="2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 wrapText="1"/>
    </xf>
    <xf numFmtId="0" fontId="2" fillId="9" borderId="1" applyAlignment="1" pivotButton="0" quotePrefix="0" xfId="0">
      <alignment horizontal="left" vertical="center" wrapText="1"/>
    </xf>
    <xf numFmtId="0" fontId="2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0" borderId="7" pivotButton="0" quotePrefix="0" xfId="0"/>
    <xf numFmtId="0" fontId="2" fillId="4" borderId="1" applyAlignment="1" pivotButton="0" quotePrefix="0" xfId="0">
      <alignment horizontal="left" vertical="center" wrapText="1"/>
    </xf>
    <xf numFmtId="165" fontId="2" fillId="4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10" borderId="1" applyAlignment="1" pivotButton="0" quotePrefix="0" xfId="0">
      <alignment horizontal="center" vertical="center" wrapText="1"/>
    </xf>
    <xf numFmtId="0" fontId="2" fillId="11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vertical="center" wrapText="1"/>
    </xf>
  </cellXfs>
  <cellStyles count="1">
    <cellStyle name="Normal" xfId="0" builtinId="0" hidden="0"/>
  </cellStyles>
  <dxfs count="5">
    <dxf>
      <fill>
        <patternFill patternType="solid">
          <bgColor rgb="00C6EFCE"/>
        </patternFill>
      </fill>
    </dxf>
    <dxf>
      <fill>
        <patternFill patternType="solid">
          <bgColor rgb="00DDEBF7"/>
        </patternFill>
      </fill>
    </dxf>
    <dxf>
      <fill>
        <patternFill patternType="solid">
          <bgColor rgb="00FFC7CE"/>
        </patternFill>
      </fill>
    </dxf>
    <dxf>
      <fill>
        <patternFill patternType="solid">
          <bgColor rgb="00E7E6E6"/>
        </patternFill>
      </fill>
    </dxf>
    <dxf>
      <font>
        <color rgb="009C0006"/>
      </font>
      <fill>
        <patternFill patternType="solid"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EA9DB"/>
    <outlinePr summaryBelow="1" summaryRight="1"/>
    <pageSetUpPr/>
  </sheetPr>
  <dimension ref="A1:B38"/>
  <sheetViews>
    <sheetView workbookViewId="0">
      <selection activeCell="A1" sqref="A1"/>
    </sheetView>
  </sheetViews>
  <sheetFormatPr baseColWidth="8" defaultRowHeight="15"/>
  <cols>
    <col width="22" customWidth="1" min="1" max="1"/>
    <col width="110" customWidth="1" min="2" max="2"/>
  </cols>
  <sheetData>
    <row r="1" ht="28" customHeight="1">
      <c r="A1" s="1" t="inlineStr">
        <is>
          <t>RIMS数据归档平台Phase1 · WBS工作分解结构（AI Native版）— 使用说明</t>
        </is>
      </c>
    </row>
    <row r="2"/>
    <row r="3" ht="20" customHeight="1">
      <c r="A3" s="2" t="inlineStr">
        <is>
          <t>一、项目与团队</t>
        </is>
      </c>
    </row>
    <row r="4" ht="30" customHeight="1">
      <c r="A4" s="3" t="inlineStr">
        <is>
          <t>项目</t>
        </is>
      </c>
      <c r="B4" s="4" t="inlineStr">
        <is>
          <t>RIMS退役系统数据归档管理平台 · Phase1「基础归档与查询」：8大模块、26项功能（详见源文件《项目执行计划 (3).xlsx》Scope-Phase1）+ 非功能需求（性能/安全/合规/可用性/容量）统一排程</t>
        </is>
      </c>
    </row>
    <row r="5" ht="30" customHeight="1">
      <c r="A5" s="3" t="inlineStr">
        <is>
          <t>团队与投入</t>
        </is>
      </c>
      <c r="B5" s="4" t="inlineStr">
        <is>
          <t>Mandy（BA/测试/文档）50人天、Wade（开发A：架构+前端+应用API）60人天、DevB（开发B：后端+数据）60人天、PM Mark 15人天，合计185人天——与《项目执行计划》团队角色表估算一致；项目正式文档撰写统一由Mandy执行</t>
        </is>
      </c>
    </row>
    <row r="6" ht="30" customHeight="1">
      <c r="A6" s="3" t="inlineStr">
        <is>
          <t>Mandy工作量口径</t>
        </is>
      </c>
      <c r="B6" s="4" t="inlineStr">
        <is>
          <t>50人天封顶：AI Native下纪要/SRS/测试用例/手册初稿由AI生成、Mandy审核润色，12项任务各压缩0.5人天、纪要整理2→1人天</t>
        </is>
      </c>
    </row>
    <row r="7" ht="30" customHeight="1">
      <c r="A7" s="3" t="inlineStr">
        <is>
          <t>PM投入分布</t>
        </is>
      </c>
      <c r="B7" s="4" t="inlineStr">
        <is>
          <t>Mark 15人天贯穿式分布：启动会1 + 每周项目例会12次×0.5=6 + 开发期每日任务同步会约2 + 进度/风险跟踪2.5 + 里程碑评审2.5 + 交付确认收尾1（最后1天在12/16项目结束时使用）</t>
        </is>
      </c>
    </row>
    <row r="8" ht="30" customHeight="1">
      <c r="A8" s="3" t="inlineStr">
        <is>
          <t>周期</t>
        </is>
      </c>
      <c r="B8" s="4" t="inlineStr">
        <is>
          <t>2026/9/14（周一）启动 → 2026/12/16（周三）交付，共94个自然日、62个工作日（≈12.5个工作周；因Wade/DevB各铺满60人天，交付较12/11顺延3个工作日）</t>
        </is>
      </c>
    </row>
    <row r="9" ht="20" customHeight="1">
      <c r="A9" s="2" t="inlineStr">
        <is>
          <t>二、排期规则</t>
        </is>
      </c>
    </row>
    <row r="10" ht="18" customHeight="1">
      <c r="A10" s="3" t="inlineStr">
        <is>
          <t>开工日</t>
        </is>
      </c>
      <c r="B10" s="4" t="inlineStr">
        <is>
          <t>9/14（周一）</t>
        </is>
      </c>
    </row>
    <row r="11" ht="30" customHeight="1">
      <c r="A11" s="3" t="inlineStr">
        <is>
          <t>不排任务日</t>
        </is>
      </c>
      <c r="B11" s="4" t="inlineStr">
        <is>
          <t>周末（周六/周日）；中秋节 9/25（周五）~9/27（周日）；国庆节 10/1（周四）~10/7（周三）。假期合计损失6个工作日，任务自动顺延</t>
        </is>
      </c>
    </row>
    <row r="12" ht="18" customHeight="1">
      <c r="A12" s="3" t="inlineStr">
        <is>
          <t>调休补班日</t>
        </is>
      </c>
      <c r="B12" s="4" t="inlineStr">
        <is>
          <t>官方补班日 9/20（周日）、10/10（周六）逢周末，按约定同样不排任务；若进度落后可启用为备用赶工日</t>
        </is>
      </c>
    </row>
    <row r="13" ht="30" customHeight="1">
      <c r="A13" s="3" t="inlineStr">
        <is>
          <t>与原计划对应</t>
        </is>
      </c>
      <c r="B13" s="4" t="inlineStr">
        <is>
          <t>原《项目执行计划》W1~W12（60工作日）→ 本版62个工作日（9/14~12/16）：Wade/DevB按各60人天铺满顺延，M1~M4里程碑不变，M5 11/27→12/1、M6 12/4→12/9、M7 12/11→12/16</t>
        </is>
      </c>
    </row>
    <row r="14" ht="20" customHeight="1">
      <c r="A14" s="2" t="inlineStr">
        <is>
          <t>三、AI Native模式（与模板传统模式的差异）</t>
        </is>
      </c>
    </row>
    <row r="15" ht="30" customHeight="1">
      <c r="A15" s="3" t="inlineStr">
        <is>
          <t>总体</t>
        </is>
      </c>
      <c r="B15" s="4" t="inlineStr">
        <is>
          <t>模板为传统瀑布（需求→设计→编码→测试→上线，人工编码+人工评审）；本版按AI Native（Vibe Coding）重排：AI生成+人工审核为主线，质量靠门禁与外部评审兜底</t>
        </is>
      </c>
    </row>
    <row r="16" ht="30" customHeight="1">
      <c r="A16" s="3" t="inlineStr">
        <is>
          <t>项目初始化</t>
        </is>
      </c>
      <c r="B16" s="4" t="inlineStr">
        <is>
          <t>项目启动即前置（3.1.1~3.1.4、3.2.1）：代码仓库/分支策略/开发环境统一/AI工具账号→AI开发规范→四道门禁CI/CD（含Azure DevOps连接K8s、测试环境部署流水线）→前后端工程初始化，先立环境与规矩再生成代码。部署节奏：测试环境早期先部署（联调/测试用，流水线自动更新）、生产环境终期部署（12/10，带审批）</t>
        </is>
      </c>
    </row>
    <row r="17" ht="30" customHeight="1">
      <c r="A17" s="3" t="inlineStr">
        <is>
          <t>非功能需求</t>
        </is>
      </c>
      <c r="B17" s="4" t="inlineStr">
        <is>
          <t>功能（26项）与非功能统一排程：NFR基线随SRS一并冻结（2.2.1，M1=9/24）→NFR测试可执行化（2.3.1）→设计期定方案（3.2.8）→集成期初验（6.3.2）→专项验证先于UAT完成（7.2.3性能/7.2.6安全可靠性，12/3~12/4）→生产就绪评审确认达标（7.2.7，12/9）</t>
        </is>
      </c>
    </row>
    <row r="18" ht="18" customHeight="1">
      <c r="A18" s="3" t="inlineStr">
        <is>
          <t>需求</t>
        </is>
      </c>
      <c r="B18" s="4" t="inlineStr">
        <is>
          <t>人工访谈澄清优先级后，SRS由AI生成初稿+人工评审基线（🤖见2.2.1）</t>
        </is>
      </c>
    </row>
    <row r="19" ht="30" customHeight="1">
      <c r="A19" s="3" t="inlineStr">
        <is>
          <t>设计</t>
        </is>
      </c>
      <c r="B19" s="4" t="inlineStr">
        <is>
          <t>架构图已预确认→设计阶段仅收尾定稿+ADR留痕；新增「AI工程基线」（3.1.1工具链/规范、3.1.2四道安全门禁CI）替代传统前置详细设计</t>
        </is>
      </c>
    </row>
    <row r="20" ht="30" customHeight="1">
      <c r="A20" s="3" t="inlineStr">
        <is>
          <t>开发</t>
        </is>
      </c>
      <c r="B20" s="4" t="inlineStr">
        <is>
          <t>Vibe Coding：AI生成代码+人工审核+四道门禁硬卡点合入；每周五下午固定0.5天技术债偿还；外部关键模块评审2次（10/9、11/11）</t>
        </is>
      </c>
    </row>
    <row r="21" ht="18" customHeight="1">
      <c r="A21" s="3" t="inlineStr">
        <is>
          <t>测试</t>
        </is>
      </c>
      <c r="B21" s="4" t="inlineStr">
        <is>
          <t>AI生成测试用例+人工补充边界/越权用例；AI辅助执行与缺陷聚类（轮1、全量、UAT三级）</t>
        </is>
      </c>
    </row>
    <row r="22" ht="18" customHeight="1">
      <c r="A22" s="3" t="inlineStr">
        <is>
          <t>文档</t>
        </is>
      </c>
      <c r="B22" s="4" t="inlineStr">
        <is>
          <t>AI反生成（代码/演示→手册）+人工润色，随模块滚动产出，不再后置到上线后</t>
        </is>
      </c>
    </row>
    <row r="23" ht="20" customHeight="1">
      <c r="A23" s="2" t="inlineStr">
        <is>
          <t>四、表格说明</t>
        </is>
      </c>
    </row>
    <row r="24" ht="30" customHeight="1">
      <c r="A24" s="3" t="inlineStr">
        <is>
          <t>新增列</t>
        </is>
      </c>
      <c r="B24" s="4" t="inlineStr">
        <is>
          <t>「工作量(人天)」＝实际人力投入（汇总行自动汇总）；「AI参与方式」＝该任务的AI参与程度（AI生成+人工审核 / AI辅助 / 人工主导 / 自动化流水线）</t>
        </is>
      </c>
    </row>
    <row r="25" ht="30" customHeight="1">
      <c r="A25" s="3" t="inlineStr">
        <is>
          <t>工期(天)</t>
        </is>
      </c>
      <c r="B25" s="4" t="inlineStr">
        <is>
          <t>＝起止日期间的排产工作日数（已扣除周末/中秋/国庆），非自然日跨度；贯穿型任务工期为跨度假定的日历工作跨度，实际投入以工作量列为准</t>
        </is>
      </c>
    </row>
    <row r="26" ht="30" customHeight="1">
      <c r="A26" s="3" t="inlineStr">
        <is>
          <t>里程碑</t>
        </is>
      </c>
      <c r="B26" s="4" t="inlineStr">
        <is>
          <t>任务名称含「◆」且金色底纹＝里程碑（主里程碑M1~M7共7个，另有M5/M6的过程控制点）；M1=9/24（中秋前）、M2=10/9、M3=10/23、M4=11/13、M5=12/1、M6=12/9、M7=12/16</t>
        </is>
      </c>
    </row>
    <row r="27" ht="18" customHeight="1">
      <c r="A27" s="3" t="inlineStr">
        <is>
          <t>自动化</t>
        </is>
      </c>
      <c r="B27" s="4" t="inlineStr">
        <is>
          <t>状态/优先级下拉选择；超期未完成整行自动标红；进度列数据条；一级任务蓝底汇总；「进度汇总」页自动统计</t>
        </is>
      </c>
    </row>
    <row r="28" ht="30" customHeight="1">
      <c r="A28" s="3" t="inlineStr">
        <is>
          <t>功能覆盖对照</t>
        </is>
      </c>
      <c r="B28" s="4" t="inlineStr">
        <is>
          <t>「26项功能覆盖对照」页：源文件Scope-Phase1的26项功能（F01-01~F08-05）与WBS任务逐项对照（主开发/界面协作/走查/全量测试/负责人/计划完成日），功能名与源文件一字不差，可直接用于功能完整性验收</t>
        </is>
      </c>
    </row>
    <row r="29" ht="30" customHeight="1">
      <c r="A29" s="3" t="inlineStr">
        <is>
          <t>其他页签</t>
        </is>
      </c>
      <c r="B29" s="4" t="inlineStr">
        <is>
          <t>「里程碑计划」「资源负荷与日历」「WBS词典」「进度汇总」配合使用；如需甘特图可将WBS编号+起止日期导出到Project/飞书项目</t>
        </is>
      </c>
    </row>
    <row r="30" ht="30" customHeight="1">
      <c r="A30" s="38" t="inlineStr">
        <is>
          <t>功能视角分解</t>
        </is>
      </c>
      <c r="B30" s="4" t="inlineStr">
        <is>
          <t>按功能维度查看：26项功能×（BA/开发A/开发B/测试/文档）五类角色各自的工作内容与人天，另有9类公共支撑行（初始化/架构/集成/专项/上线/管理）；底部与185人天自动对账，可与按开发顺序的「WBS分解」页对照使用</t>
        </is>
      </c>
    </row>
    <row r="31" ht="30" customHeight="1">
      <c r="A31" s="38" t="n"/>
      <c r="B31" s="4" t="n"/>
    </row>
    <row r="32" ht="30" customHeight="1">
      <c r="A32" s="38" t="n"/>
      <c r="B32" s="4" t="n"/>
    </row>
    <row r="33" ht="30" customHeight="1">
      <c r="A33" s="38" t="n"/>
      <c r="B33" s="4" t="n"/>
    </row>
    <row r="34" ht="30" customHeight="1">
      <c r="A34" s="38" t="n"/>
      <c r="B34" s="4" t="n"/>
    </row>
    <row r="35" ht="30" customHeight="1">
      <c r="A35" s="38" t="inlineStr">
        <is>
          <t>功能拆解估算</t>
        </is>
      </c>
      <c r="B35" s="4" t="inlineStr">
        <is>
          <t>子任务级直估：模块→功能→子任务三层结构（模块列与功能列均为纵向合并单元格），26项功能×75子任务 + 非功能与工程支撑×23子任务（N1框架初始化与基座/N2 ESLint·SonarLint·SAST代码质量治理/N3性能·鉴权·可观测·容量/N4部署运维），按BA/开发A/开发B/测试/SLC文档独立估人天；底部附与计划口径对照</t>
        </is>
      </c>
    </row>
    <row r="36" ht="30" customHeight="1">
      <c r="A36" s="38" t="n"/>
      <c r="B36" s="4" t="n"/>
    </row>
    <row r="37" ht="30" customHeight="1">
      <c r="A37" s="38" t="n"/>
      <c r="B37" s="4" t="n"/>
    </row>
    <row r="38" ht="30" customHeight="1">
      <c r="A38" s="38" t="n"/>
      <c r="B38" s="4" t="n"/>
    </row>
  </sheetData>
  <mergeCells count="5">
    <mergeCell ref="A14:B14"/>
    <mergeCell ref="A1:B1"/>
    <mergeCell ref="A23:B23"/>
    <mergeCell ref="A9:B9"/>
    <mergeCell ref="A3:B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05496"/>
    <outlinePr summaryBelow="1" summaryRight="1"/>
    <pageSetUpPr/>
  </sheetPr>
  <dimension ref="A1:Q164"/>
  <sheetViews>
    <sheetView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52" customWidth="1" min="2" max="2"/>
    <col width="6" customWidth="1" min="3" max="3"/>
    <col width="30" customWidth="1" min="4" max="4"/>
    <col width="11" customWidth="1" min="5" max="5"/>
    <col width="11" customWidth="1" min="6" max="6"/>
    <col width="11" customWidth="1" min="7" max="7"/>
    <col width="9" customWidth="1" min="8" max="8"/>
    <col width="11" customWidth="1" min="9" max="9"/>
    <col width="15" customWidth="1" min="10" max="10"/>
    <col width="14" customWidth="1" min="11" max="11"/>
    <col width="9" customWidth="1" min="12" max="12"/>
    <col width="8" customWidth="1" min="13" max="13"/>
    <col width="8" customWidth="1" min="14" max="14"/>
    <col width="11" customWidth="1" min="15" max="15"/>
    <col width="11" customWidth="1" min="16" max="16"/>
    <col width="42" customWidth="1" min="17" max="17"/>
  </cols>
  <sheetData>
    <row r="1" ht="30" customHeight="1">
      <c r="A1" s="5" t="inlineStr">
        <is>
          <t>RIMS数据归档平台Phase1 · 项目工作分解结构（WBS）表 — AI Native版</t>
        </is>
      </c>
    </row>
    <row r="2" ht="18" customHeight="1">
      <c r="A2" s="6" t="inlineStr">
        <is>
          <t>项目名称：RIMS退役系统数据归档平台·Phase1（基础归档与查询）</t>
        </is>
      </c>
      <c r="F2" s="6" t="inlineStr">
        <is>
          <t>项目经理：Mark</t>
        </is>
      </c>
      <c r="I2" s="6" t="inlineStr">
        <is>
          <t>编制日期：2026/9/1  版本：V1.1</t>
        </is>
      </c>
      <c r="L2" s="6" t="inlineStr">
        <is>
          <t>开发模式：AI Native（Vibe Coding）</t>
        </is>
      </c>
      <c r="O2" s="6" t="inlineStr">
        <is>
          <t>项目状态：已排期待启动（9/14启动）</t>
        </is>
      </c>
    </row>
    <row r="3">
      <c r="A3" s="7" t="inlineStr">
        <is>
          <t>WBS编号</t>
        </is>
      </c>
      <c r="B3" s="7" t="inlineStr">
        <is>
          <t>任务名称</t>
        </is>
      </c>
      <c r="C3" s="7" t="inlineStr">
        <is>
          <t>层级</t>
        </is>
      </c>
      <c r="D3" s="7" t="inlineStr">
        <is>
          <t>交付物/成果</t>
        </is>
      </c>
      <c r="E3" s="7" t="inlineStr">
        <is>
          <t>负责人</t>
        </is>
      </c>
      <c r="F3" s="7" t="inlineStr">
        <is>
          <t>开始日期</t>
        </is>
      </c>
      <c r="G3" s="7" t="inlineStr">
        <is>
          <t>结束日期</t>
        </is>
      </c>
      <c r="H3" s="7" t="inlineStr">
        <is>
          <t>工期(天)</t>
        </is>
      </c>
      <c r="I3" s="7" t="inlineStr">
        <is>
          <t>工作量(人天)</t>
        </is>
      </c>
      <c r="J3" s="7" t="inlineStr">
        <is>
          <t>AI参与方式</t>
        </is>
      </c>
      <c r="K3" s="7" t="inlineStr">
        <is>
          <t>前置任务</t>
        </is>
      </c>
      <c r="L3" s="7" t="inlineStr">
        <is>
          <t>状态</t>
        </is>
      </c>
      <c r="M3" s="7" t="inlineStr">
        <is>
          <t>进度</t>
        </is>
      </c>
      <c r="N3" s="7" t="inlineStr">
        <is>
          <t>优先级</t>
        </is>
      </c>
      <c r="O3" s="7" t="inlineStr">
        <is>
          <t>预算(元)</t>
        </is>
      </c>
      <c r="P3" s="7" t="inlineStr">
        <is>
          <t>实际成本(元)</t>
        </is>
      </c>
      <c r="Q3" s="7" t="inlineStr">
        <is>
          <t>备注</t>
        </is>
      </c>
    </row>
    <row r="4">
      <c r="A4" s="8" t="inlineStr">
        <is>
          <t>1</t>
        </is>
      </c>
      <c r="B4" s="9" t="inlineStr">
        <is>
          <t>项目管理（贯穿全周期·15人天）</t>
        </is>
      </c>
      <c r="C4" s="8" t="n">
        <v>1</v>
      </c>
      <c r="D4" s="10" t="inlineStr">
        <is>
          <t>会议组织、进度跟踪表、风险登记册、交付确认</t>
        </is>
      </c>
      <c r="E4" s="8" t="inlineStr">
        <is>
          <t>Mark</t>
        </is>
      </c>
      <c r="F4" s="43" t="n">
        <v>46279</v>
      </c>
      <c r="G4" s="43" t="n">
        <v>46372</v>
      </c>
      <c r="H4" s="8" t="n">
        <v>62</v>
      </c>
      <c r="I4" s="44">
        <f>ROUND(SUMPRODUCT(($C$5:$C$14=3)*(LEFT($A$5:$A$14,LEN(A4))=A4)*$I$5:$I$14),2)</f>
        <v/>
      </c>
      <c r="J4" s="10" t="inlineStr"/>
      <c r="K4" s="10" t="inlineStr"/>
      <c r="L4" s="8" t="inlineStr">
        <is>
          <t>未开始</t>
        </is>
      </c>
      <c r="M4" s="13" t="n">
        <v>0</v>
      </c>
      <c r="N4" s="8" t="inlineStr">
        <is>
          <t>高</t>
        </is>
      </c>
      <c r="O4" s="14" t="n"/>
      <c r="P4" s="14" t="n"/>
      <c r="Q4" s="10" t="inlineStr">
        <is>
          <t>15人天分布：启动1+周例会6+每日同步2+进度风险跟踪2.5+里程碑评审2.5+收尾1</t>
        </is>
      </c>
    </row>
    <row r="5">
      <c r="A5" s="15" t="inlineStr">
        <is>
          <t>1.1</t>
        </is>
      </c>
      <c r="B5" s="16" t="inlineStr">
        <is>
          <t>项目启动</t>
        </is>
      </c>
      <c r="C5" s="15" t="n">
        <v>2</v>
      </c>
      <c r="D5" s="17" t="inlineStr">
        <is>
          <t>启动会纪要、RACI矩阵</t>
        </is>
      </c>
      <c r="E5" s="15" t="inlineStr">
        <is>
          <t>Mark</t>
        </is>
      </c>
      <c r="F5" s="45" t="n">
        <v>46279</v>
      </c>
      <c r="G5" s="45" t="n">
        <v>46279</v>
      </c>
      <c r="H5" s="15" t="n">
        <v>1</v>
      </c>
      <c r="I5" s="46">
        <f>ROUND(SUMPRODUCT(($C$6:$C$6=3)*(LEFT($A$6:$A$6,LEN(A5))=A5)*$I$6:$I$6),2)</f>
        <v/>
      </c>
      <c r="J5" s="17" t="inlineStr"/>
      <c r="K5" s="17" t="inlineStr"/>
      <c r="L5" s="15" t="inlineStr">
        <is>
          <t>未开始</t>
        </is>
      </c>
      <c r="M5" s="20" t="n">
        <v>0</v>
      </c>
      <c r="N5" s="15" t="inlineStr">
        <is>
          <t>高</t>
        </is>
      </c>
      <c r="O5" s="21" t="n"/>
      <c r="P5" s="21" t="n"/>
      <c r="Q5" s="17" t="inlineStr"/>
    </row>
    <row r="6">
      <c r="A6" s="15" t="inlineStr">
        <is>
          <t>1.1.1</t>
        </is>
      </c>
      <c r="B6" s="22" t="inlineStr">
        <is>
          <t>项目启动会与开发模式交底（范围/总体计划/门禁规则/RACI）</t>
        </is>
      </c>
      <c r="C6" s="15" t="n">
        <v>3</v>
      </c>
      <c r="D6" s="17" t="inlineStr">
        <is>
          <t>启动会纪要、RACI矩阵、AI协作规约签认</t>
        </is>
      </c>
      <c r="E6" s="15" t="inlineStr">
        <is>
          <t>Mark</t>
        </is>
      </c>
      <c r="F6" s="45" t="n">
        <v>46279</v>
      </c>
      <c r="G6" s="45" t="n">
        <v>46279</v>
      </c>
      <c r="H6" s="15" t="n">
        <v>1</v>
      </c>
      <c r="I6" s="46" t="n">
        <v>1</v>
      </c>
      <c r="J6" s="17" t="inlineStr">
        <is>
          <t>人工主导</t>
        </is>
      </c>
      <c r="K6" s="17" t="inlineStr"/>
      <c r="L6" s="15" t="inlineStr">
        <is>
          <t>未开始</t>
        </is>
      </c>
      <c r="M6" s="20" t="n">
        <v>0</v>
      </c>
      <c r="N6" s="15" t="inlineStr">
        <is>
          <t>高</t>
        </is>
      </c>
      <c r="O6" s="21" t="n"/>
      <c r="P6" s="21" t="n"/>
      <c r="Q6" s="17" t="inlineStr">
        <is>
          <t>全员参加；宣布开发规范与门禁规则生效</t>
        </is>
      </c>
    </row>
    <row r="7">
      <c r="A7" s="15" t="inlineStr">
        <is>
          <t>1.2</t>
        </is>
      </c>
      <c r="B7" s="16" t="inlineStr">
        <is>
          <t>项目例会与进度跟踪（贯穿执行期）</t>
        </is>
      </c>
      <c r="C7" s="15" t="n">
        <v>2</v>
      </c>
      <c r="D7" s="17" t="inlineStr">
        <is>
          <t>周会决议、进度跟踪表、风险登记册、变更日志</t>
        </is>
      </c>
      <c r="E7" s="15" t="inlineStr">
        <is>
          <t>Mark</t>
        </is>
      </c>
      <c r="F7" s="45" t="n">
        <v>46286</v>
      </c>
      <c r="G7" s="45" t="n">
        <v>46371</v>
      </c>
      <c r="H7" s="15" t="n">
        <v>56</v>
      </c>
      <c r="I7" s="46">
        <f>ROUND(SUMPRODUCT(($C$8:$C$12=3)*(LEFT($A$8:$A$12,LEN(A7))=A7)*$I$8:$I$12),2)</f>
        <v/>
      </c>
      <c r="J7" s="17" t="inlineStr"/>
      <c r="K7" s="17" t="inlineStr">
        <is>
          <t>1.1.1</t>
        </is>
      </c>
      <c r="L7" s="15" t="inlineStr">
        <is>
          <t>未开始</t>
        </is>
      </c>
      <c r="M7" s="20" t="n">
        <v>0</v>
      </c>
      <c r="N7" s="15" t="inlineStr">
        <is>
          <t>高</t>
        </is>
      </c>
      <c r="O7" s="21" t="n"/>
      <c r="P7" s="21" t="n"/>
      <c r="Q7" s="17" t="inlineStr">
        <is>
          <t>周例会+开发期每日短会；纪要成文由Mandy执行（1.2.5）</t>
        </is>
      </c>
    </row>
    <row r="8">
      <c r="A8" s="15" t="inlineStr">
        <is>
          <t>1.2.1</t>
        </is>
      </c>
      <c r="B8" s="22" t="inlineStr">
        <is>
          <t>每周项目例会（12次：进度/风险/资源同步，对照进度基线）</t>
        </is>
      </c>
      <c r="C8" s="15" t="n">
        <v>3</v>
      </c>
      <c r="D8" s="17" t="inlineStr">
        <is>
          <t>周会决议要点、进度跟踪表更新</t>
        </is>
      </c>
      <c r="E8" s="15" t="inlineStr">
        <is>
          <t>Mark</t>
        </is>
      </c>
      <c r="F8" s="45" t="n">
        <v>46286</v>
      </c>
      <c r="G8" s="45" t="n">
        <v>46366</v>
      </c>
      <c r="H8" s="15" t="n">
        <v>53</v>
      </c>
      <c r="I8" s="46" t="n">
        <v>6</v>
      </c>
      <c r="J8" s="17" t="inlineStr">
        <is>
          <t>人工主导</t>
        </is>
      </c>
      <c r="K8" s="17" t="inlineStr">
        <is>
          <t>1.1.1</t>
        </is>
      </c>
      <c r="L8" s="15" t="inlineStr">
        <is>
          <t>未开始</t>
        </is>
      </c>
      <c r="M8" s="20" t="n">
        <v>0</v>
      </c>
      <c r="N8" s="15" t="inlineStr">
        <is>
          <t>高</t>
        </is>
      </c>
      <c r="O8" s="21" t="n"/>
      <c r="P8" s="21" t="n"/>
      <c r="Q8" s="17" t="inlineStr">
        <is>
          <t>每周固定0.5天×12次；跟踪缓冲余量与预警信号</t>
        </is>
      </c>
    </row>
    <row r="9">
      <c r="A9" s="15" t="inlineStr">
        <is>
          <t>1.2.2</t>
        </is>
      </c>
      <c r="B9" s="22" t="inlineStr">
        <is>
          <t>开发期每日任务同步会（每个工作日约30分钟：当日任务/阻塞/次日计划）</t>
        </is>
      </c>
      <c r="C9" s="15" t="n">
        <v>3</v>
      </c>
      <c r="D9" s="17" t="inlineStr">
        <is>
          <t>任务同步记录</t>
        </is>
      </c>
      <c r="E9" s="15" t="inlineStr">
        <is>
          <t>Mark</t>
        </is>
      </c>
      <c r="F9" s="45" t="n">
        <v>46307</v>
      </c>
      <c r="G9" s="45" t="n">
        <v>46357</v>
      </c>
      <c r="H9" s="15" t="n">
        <v>37</v>
      </c>
      <c r="I9" s="46" t="n">
        <v>2</v>
      </c>
      <c r="J9" s="17" t="inlineStr">
        <is>
          <t>人工主导</t>
        </is>
      </c>
      <c r="K9" s="17" t="inlineStr">
        <is>
          <t>1.1.1</t>
        </is>
      </c>
      <c r="L9" s="15" t="inlineStr">
        <is>
          <t>未开始</t>
        </is>
      </c>
      <c r="M9" s="20" t="n">
        <v>0</v>
      </c>
      <c r="N9" s="15" t="inlineStr">
        <is>
          <t>高</t>
        </is>
      </c>
      <c r="O9" s="21" t="n"/>
      <c r="P9" s="21" t="n"/>
      <c r="Q9" s="17" t="inlineStr">
        <is>
          <t>开发执行期（10/12~12/1）每日短会</t>
        </is>
      </c>
    </row>
    <row r="10">
      <c r="A10" s="15" t="inlineStr">
        <is>
          <t>1.2.3</t>
        </is>
      </c>
      <c r="B10" s="22" t="inlineStr">
        <is>
          <t>进度跟踪与风险变更管理（进度计划更新/风险登记册/变更日志/外部依赖跟催）</t>
        </is>
      </c>
      <c r="C10" s="15" t="n">
        <v>3</v>
      </c>
      <c r="D10" s="17" t="inlineStr">
        <is>
          <t>进度跟踪表、风险登记册、变更日志</t>
        </is>
      </c>
      <c r="E10" s="15" t="inlineStr">
        <is>
          <t>Mark</t>
        </is>
      </c>
      <c r="F10" s="45" t="n">
        <v>46286</v>
      </c>
      <c r="G10" s="45" t="n">
        <v>46371</v>
      </c>
      <c r="H10" s="15" t="n">
        <v>56</v>
      </c>
      <c r="I10" s="46" t="n">
        <v>2.5</v>
      </c>
      <c r="J10" s="17" t="inlineStr">
        <is>
          <t>AI辅助</t>
        </is>
      </c>
      <c r="K10" s="17" t="inlineStr">
        <is>
          <t>1.1.1</t>
        </is>
      </c>
      <c r="L10" s="15" t="inlineStr">
        <is>
          <t>未开始</t>
        </is>
      </c>
      <c r="M10" s="20" t="n">
        <v>0</v>
      </c>
      <c r="N10" s="15" t="inlineStr">
        <is>
          <t>高</t>
        </is>
      </c>
      <c r="O10" s="21" t="n"/>
      <c r="P10" s="21" t="n"/>
      <c r="Q10" s="17" t="inlineStr">
        <is>
          <t>每周约0.25天×11周；AI辅助汇总状态，Mark复核跟踪</t>
        </is>
      </c>
    </row>
    <row r="11">
      <c r="A11" s="15" t="inlineStr">
        <is>
          <t>1.2.4</t>
        </is>
      </c>
      <c r="B11" s="22" t="inlineStr">
        <is>
          <t>里程碑评审会组织（M1~M6）</t>
        </is>
      </c>
      <c r="C11" s="15" t="n">
        <v>3</v>
      </c>
      <c r="D11" s="17" t="inlineStr">
        <is>
          <t>里程碑评审决议（6份）</t>
        </is>
      </c>
      <c r="E11" s="15" t="inlineStr">
        <is>
          <t>Mark</t>
        </is>
      </c>
      <c r="F11" s="45" t="n">
        <v>46289</v>
      </c>
      <c r="G11" s="45" t="n">
        <v>46365</v>
      </c>
      <c r="H11" s="15" t="n">
        <v>49</v>
      </c>
      <c r="I11" s="46" t="n">
        <v>2.5</v>
      </c>
      <c r="J11" s="17" t="inlineStr">
        <is>
          <t>人工主导</t>
        </is>
      </c>
      <c r="K11" s="17" t="inlineStr">
        <is>
          <t>1.2.1</t>
        </is>
      </c>
      <c r="L11" s="15" t="inlineStr">
        <is>
          <t>未开始</t>
        </is>
      </c>
      <c r="M11" s="20" t="n">
        <v>0</v>
      </c>
      <c r="N11" s="15" t="inlineStr">
        <is>
          <t>高</t>
        </is>
      </c>
      <c r="O11" s="21" t="n"/>
      <c r="P11" s="21" t="n"/>
      <c r="Q11" s="17" t="inlineStr">
        <is>
          <t>每次0.5天×5~6次</t>
        </is>
      </c>
    </row>
    <row r="12">
      <c r="A12" s="15" t="inlineStr">
        <is>
          <t>1.2.5</t>
        </is>
      </c>
      <c r="B12" s="22" t="inlineStr">
        <is>
          <t>会议纪要与项目文档整理（配合PM，贯穿全周期）</t>
        </is>
      </c>
      <c r="C12" s="15" t="n">
        <v>3</v>
      </c>
      <c r="D12" s="17" t="inlineStr">
        <is>
          <t>会议纪要、项目文档归档</t>
        </is>
      </c>
      <c r="E12" s="15" t="inlineStr">
        <is>
          <t>Mandy</t>
        </is>
      </c>
      <c r="F12" s="45" t="n">
        <v>46286</v>
      </c>
      <c r="G12" s="45" t="n">
        <v>46371</v>
      </c>
      <c r="H12" s="15" t="n">
        <v>56</v>
      </c>
      <c r="I12" s="46" t="n">
        <v>1</v>
      </c>
      <c r="J12" s="17" t="inlineStr">
        <is>
          <t>AI辅助</t>
        </is>
      </c>
      <c r="K12" s="17" t="inlineStr">
        <is>
          <t>1.1.1</t>
        </is>
      </c>
      <c r="L12" s="15" t="inlineStr">
        <is>
          <t>未开始</t>
        </is>
      </c>
      <c r="M12" s="20" t="n">
        <v>0</v>
      </c>
      <c r="N12" s="15" t="inlineStr">
        <is>
          <t>中</t>
        </is>
      </c>
      <c r="O12" s="21" t="n"/>
      <c r="P12" s="21" t="n"/>
      <c r="Q12" s="17" t="inlineStr">
        <is>
          <t>AI整理纪要+双周集中归档；项目正式文档撰写统一由Mandy执行</t>
        </is>
      </c>
    </row>
    <row r="13">
      <c r="A13" s="15" t="inlineStr">
        <is>
          <t>1.3</t>
        </is>
      </c>
      <c r="B13" s="16" t="inlineStr">
        <is>
          <t>项目收尾</t>
        </is>
      </c>
      <c r="C13" s="15" t="n">
        <v>2</v>
      </c>
      <c r="D13" s="17" t="inlineStr">
        <is>
          <t>交付确认单、项目总结</t>
        </is>
      </c>
      <c r="E13" s="15" t="inlineStr">
        <is>
          <t>Mark</t>
        </is>
      </c>
      <c r="F13" s="45" t="n">
        <v>46372</v>
      </c>
      <c r="G13" s="45" t="n">
        <v>46372</v>
      </c>
      <c r="H13" s="15" t="n">
        <v>1</v>
      </c>
      <c r="I13" s="46">
        <f>ROUND(SUMPRODUCT(($C$14:$C$14=3)*(LEFT($A$14:$A$14,LEN(A13))=A13)*$I$14:$I$14),2)</f>
        <v/>
      </c>
      <c r="J13" s="17" t="inlineStr"/>
      <c r="K13" s="17" t="inlineStr"/>
      <c r="L13" s="15" t="inlineStr">
        <is>
          <t>未开始</t>
        </is>
      </c>
      <c r="M13" s="20" t="n">
        <v>0</v>
      </c>
      <c r="N13" s="15" t="inlineStr">
        <is>
          <t>中</t>
        </is>
      </c>
      <c r="O13" s="21" t="n"/>
      <c r="P13" s="21" t="n"/>
      <c r="Q13" s="17" t="inlineStr"/>
    </row>
    <row r="14">
      <c r="A14" s="23" t="inlineStr">
        <is>
          <t>1.3.1</t>
        </is>
      </c>
      <c r="B14" s="24" t="inlineStr">
        <is>
          <t>项目交付确认与总结会◆（M7）</t>
        </is>
      </c>
      <c r="C14" s="23" t="n">
        <v>3</v>
      </c>
      <c r="D14" s="25" t="inlineStr">
        <is>
          <t>交付确认单（签字）、总结会议</t>
        </is>
      </c>
      <c r="E14" s="23" t="inlineStr">
        <is>
          <t>Mark</t>
        </is>
      </c>
      <c r="F14" s="47" t="n">
        <v>46372</v>
      </c>
      <c r="G14" s="47" t="n">
        <v>46372</v>
      </c>
      <c r="H14" s="23" t="n">
        <v>1</v>
      </c>
      <c r="I14" s="48" t="n">
        <v>1</v>
      </c>
      <c r="J14" s="25" t="inlineStr">
        <is>
          <t>人工主导</t>
        </is>
      </c>
      <c r="K14" s="25" t="inlineStr">
        <is>
          <t>8.2.3;8.2.7</t>
        </is>
      </c>
      <c r="L14" s="23" t="inlineStr">
        <is>
          <t>未开始</t>
        </is>
      </c>
      <c r="M14" s="28" t="n">
        <v>0</v>
      </c>
      <c r="N14" s="23" t="inlineStr">
        <is>
          <t>高</t>
        </is>
      </c>
      <c r="O14" s="29" t="n"/>
      <c r="P14" s="29" t="n"/>
      <c r="Q14" s="25" t="inlineStr">
        <is>
          <t>12/16最后一个PM人天收尾；交付文档由Mandy齐套（8.2.3）</t>
        </is>
      </c>
    </row>
    <row r="15">
      <c r="A15" s="8" t="inlineStr">
        <is>
          <t>2</t>
        </is>
      </c>
      <c r="B15" s="9" t="inlineStr">
        <is>
          <t>需求与分析（AI辅助）</t>
        </is>
      </c>
      <c r="C15" s="8" t="n">
        <v>1</v>
      </c>
      <c r="D15" s="10" t="inlineStr">
        <is>
          <t>SRS、需求追踪矩阵、测试计划、用例库</t>
        </is>
      </c>
      <c r="E15" s="8" t="inlineStr">
        <is>
          <t>Mandy</t>
        </is>
      </c>
      <c r="F15" s="43" t="n">
        <v>46279</v>
      </c>
      <c r="G15" s="43" t="n">
        <v>46295</v>
      </c>
      <c r="H15" s="8" t="n">
        <v>12</v>
      </c>
      <c r="I15" s="44">
        <f>ROUND(SUMPRODUCT(($C$16:$C$28=3)*(LEFT($A$16:$A$28,LEN(A15))=A15)*$I$16:$I$28),2)</f>
        <v/>
      </c>
      <c r="J15" s="10" t="inlineStr"/>
      <c r="K15" s="10" t="inlineStr"/>
      <c r="L15" s="8" t="inlineStr">
        <is>
          <t>未开始</t>
        </is>
      </c>
      <c r="M15" s="13" t="n">
        <v>0</v>
      </c>
      <c r="N15" s="8" t="inlineStr">
        <is>
          <t>高</t>
        </is>
      </c>
      <c r="O15" s="14" t="n"/>
      <c r="P15" s="14" t="n"/>
      <c r="Q15" s="10" t="inlineStr">
        <is>
          <t>对应原计划W1~W3需求部分</t>
        </is>
      </c>
    </row>
    <row r="16">
      <c r="A16" s="15" t="inlineStr">
        <is>
          <t>2.1</t>
        </is>
      </c>
      <c r="B16" s="16" t="inlineStr">
        <is>
          <t>需求调研</t>
        </is>
      </c>
      <c r="C16" s="15" t="n">
        <v>2</v>
      </c>
      <c r="D16" s="17" t="inlineStr">
        <is>
          <t>访谈纪要、需求追踪矩阵、原型草图</t>
        </is>
      </c>
      <c r="E16" s="15" t="inlineStr">
        <is>
          <t>Mandy</t>
        </is>
      </c>
      <c r="F16" s="45" t="n">
        <v>46279</v>
      </c>
      <c r="G16" s="45" t="n">
        <v>46283</v>
      </c>
      <c r="H16" s="15" t="n">
        <v>5</v>
      </c>
      <c r="I16" s="46">
        <f>ROUND(SUMPRODUCT(($C$17:$C$19=3)*(LEFT($A$17:$A$19,LEN(A16))=A16)*$I$17:$I$19),2)</f>
        <v/>
      </c>
      <c r="J16" s="17" t="inlineStr"/>
      <c r="K16" s="17" t="inlineStr"/>
      <c r="L16" s="15" t="inlineStr">
        <is>
          <t>未开始</t>
        </is>
      </c>
      <c r="M16" s="20" t="n">
        <v>0</v>
      </c>
      <c r="N16" s="15" t="inlineStr">
        <is>
          <t>高</t>
        </is>
      </c>
      <c r="O16" s="21" t="n"/>
      <c r="P16" s="21" t="n"/>
      <c r="Q16" s="17" t="inlineStr"/>
    </row>
    <row r="17">
      <c r="A17" s="15" t="inlineStr">
        <is>
          <t>2.1.1</t>
        </is>
      </c>
      <c r="B17" s="22" t="inlineStr">
        <is>
          <t>业务访谈3场（业务方×2+合规法务×1）+AI整理纪要</t>
        </is>
      </c>
      <c r="C17" s="15" t="n">
        <v>3</v>
      </c>
      <c r="D17" s="17" t="inlineStr">
        <is>
          <t>访谈纪要（3份）</t>
        </is>
      </c>
      <c r="E17" s="15" t="inlineStr">
        <is>
          <t>Mandy</t>
        </is>
      </c>
      <c r="F17" s="45" t="n">
        <v>46279</v>
      </c>
      <c r="G17" s="45" t="n">
        <v>46280</v>
      </c>
      <c r="H17" s="15" t="n">
        <v>2</v>
      </c>
      <c r="I17" s="46" t="n">
        <v>2</v>
      </c>
      <c r="J17" s="17" t="inlineStr">
        <is>
          <t>AI辅助</t>
        </is>
      </c>
      <c r="K17" s="17" t="inlineStr"/>
      <c r="L17" s="15" t="inlineStr">
        <is>
          <t>未开始</t>
        </is>
      </c>
      <c r="M17" s="20" t="n">
        <v>0</v>
      </c>
      <c r="N17" s="15" t="inlineStr">
        <is>
          <t>高</t>
        </is>
      </c>
      <c r="O17" s="21" t="n"/>
      <c r="P17" s="21" t="n"/>
      <c r="Q17" s="17" t="inlineStr">
        <is>
          <t>外部依赖：业务方访谈排期</t>
        </is>
      </c>
    </row>
    <row r="18">
      <c r="A18" s="15" t="inlineStr">
        <is>
          <t>2.1.2</t>
        </is>
      </c>
      <c r="B18" s="22" t="inlineStr">
        <is>
          <t>26项功能逐条澄清+P0/P1/P2优先级标定</t>
        </is>
      </c>
      <c r="C18" s="15" t="n">
        <v>3</v>
      </c>
      <c r="D18" s="17" t="inlineStr">
        <is>
          <t>需求追踪矩阵（26项带编号）</t>
        </is>
      </c>
      <c r="E18" s="15" t="inlineStr">
        <is>
          <t>Mandy</t>
        </is>
      </c>
      <c r="F18" s="45" t="n">
        <v>46281</v>
      </c>
      <c r="G18" s="45" t="n">
        <v>46282</v>
      </c>
      <c r="H18" s="15" t="n">
        <v>2</v>
      </c>
      <c r="I18" s="46" t="n">
        <v>2</v>
      </c>
      <c r="J18" s="17" t="inlineStr">
        <is>
          <t>人工主导</t>
        </is>
      </c>
      <c r="K18" s="17" t="inlineStr">
        <is>
          <t>2.1.1</t>
        </is>
      </c>
      <c r="L18" s="15" t="inlineStr">
        <is>
          <t>未开始</t>
        </is>
      </c>
      <c r="M18" s="20" t="n">
        <v>0</v>
      </c>
      <c r="N18" s="15" t="inlineStr">
        <is>
          <t>高</t>
        </is>
      </c>
      <c r="O18" s="21" t="n"/>
      <c r="P18" s="21" t="n"/>
      <c r="Q18" s="17" t="inlineStr">
        <is>
          <t>覆盖Scope-Phase1全部26项功能</t>
        </is>
      </c>
    </row>
    <row r="19">
      <c r="A19" s="15" t="inlineStr">
        <is>
          <t>2.1.3</t>
        </is>
      </c>
      <c r="B19" s="22" t="inlineStr">
        <is>
          <t>核心页面原型草图（检索/迁移任务/处置）</t>
        </is>
      </c>
      <c r="C19" s="15" t="n">
        <v>3</v>
      </c>
      <c r="D19" s="17" t="inlineStr">
        <is>
          <t>原型草图</t>
        </is>
      </c>
      <c r="E19" s="15" t="inlineStr">
        <is>
          <t>Mandy</t>
        </is>
      </c>
      <c r="F19" s="45" t="n">
        <v>46283</v>
      </c>
      <c r="G19" s="45" t="n">
        <v>46283</v>
      </c>
      <c r="H19" s="15" t="n">
        <v>1</v>
      </c>
      <c r="I19" s="46" t="n">
        <v>1</v>
      </c>
      <c r="J19" s="17" t="inlineStr">
        <is>
          <t>AI生成+人工审核</t>
        </is>
      </c>
      <c r="K19" s="17" t="inlineStr">
        <is>
          <t>2.1.2</t>
        </is>
      </c>
      <c r="L19" s="15" t="inlineStr">
        <is>
          <t>未开始</t>
        </is>
      </c>
      <c r="M19" s="20" t="n">
        <v>0</v>
      </c>
      <c r="N19" s="15" t="inlineStr">
        <is>
          <t>中</t>
        </is>
      </c>
      <c r="O19" s="21" t="n"/>
      <c r="P19" s="21" t="n"/>
      <c r="Q19" s="17" t="inlineStr">
        <is>
          <t>AI出稿+人工修订</t>
        </is>
      </c>
    </row>
    <row r="20">
      <c r="A20" s="15" t="inlineStr">
        <is>
          <t>2.2</t>
        </is>
      </c>
      <c r="B20" s="16" t="inlineStr">
        <is>
          <t>需求定义与基线</t>
        </is>
      </c>
      <c r="C20" s="15" t="n">
        <v>2</v>
      </c>
      <c r="D20" s="17" t="inlineStr">
        <is>
          <t>SRS V1.0、基线确认单</t>
        </is>
      </c>
      <c r="E20" s="15" t="inlineStr">
        <is>
          <t>Mandy</t>
        </is>
      </c>
      <c r="F20" s="45" t="n">
        <v>46286</v>
      </c>
      <c r="G20" s="45" t="n">
        <v>46289</v>
      </c>
      <c r="H20" s="15" t="n">
        <v>4</v>
      </c>
      <c r="I20" s="46">
        <f>ROUND(SUMPRODUCT(($C$21:$C$22=3)*(LEFT($A$21:$A$22,LEN(A20))=A20)*$I$21:$I$22),2)</f>
        <v/>
      </c>
      <c r="J20" s="17" t="inlineStr"/>
      <c r="K20" s="17" t="inlineStr"/>
      <c r="L20" s="15" t="inlineStr">
        <is>
          <t>未开始</t>
        </is>
      </c>
      <c r="M20" s="20" t="n">
        <v>0</v>
      </c>
      <c r="N20" s="15" t="inlineStr">
        <is>
          <t>高</t>
        </is>
      </c>
      <c r="O20" s="21" t="n"/>
      <c r="P20" s="21" t="n"/>
      <c r="Q20" s="17" t="inlineStr"/>
    </row>
    <row r="21">
      <c r="A21" s="15" t="inlineStr">
        <is>
          <t>2.2.1</t>
        </is>
      </c>
      <c r="B21" s="22" t="inlineStr">
        <is>
          <t>AI生成SRS初稿（26项功能+非功能需求NFR：数据流图/归档范围矩阵/保留期矩阵+性能·安全·合规·可用性·容量指标）+人工修订</t>
        </is>
      </c>
      <c r="C21" s="15" t="n">
        <v>3</v>
      </c>
      <c r="D21" s="17" t="inlineStr">
        <is>
          <t>SRS V1.0（含NFR基线）</t>
        </is>
      </c>
      <c r="E21" s="15" t="inlineStr">
        <is>
          <t>Mandy</t>
        </is>
      </c>
      <c r="F21" s="45" t="n">
        <v>46286</v>
      </c>
      <c r="G21" s="45" t="n">
        <v>46288</v>
      </c>
      <c r="H21" s="15" t="n">
        <v>3</v>
      </c>
      <c r="I21" s="46" t="n">
        <v>2.5</v>
      </c>
      <c r="J21" s="17" t="inlineStr">
        <is>
          <t>AI生成+人工审核</t>
        </is>
      </c>
      <c r="K21" s="17" t="inlineStr">
        <is>
          <t>2.1.2</t>
        </is>
      </c>
      <c r="L21" s="15" t="inlineStr">
        <is>
          <t>未开始</t>
        </is>
      </c>
      <c r="M21" s="20" t="n">
        <v>0</v>
      </c>
      <c r="N21" s="15" t="inlineStr">
        <is>
          <t>高</t>
        </is>
      </c>
      <c r="O21" s="21" t="n"/>
      <c r="P21" s="21" t="n"/>
      <c r="Q21" s="17" t="inlineStr">
        <is>
          <t>AI出稿，人工逐条核对26项覆盖</t>
        </is>
      </c>
    </row>
    <row r="22">
      <c r="A22" s="23" t="inlineStr">
        <is>
          <t>2.2.2</t>
        </is>
      </c>
      <c r="B22" s="24" t="inlineStr">
        <is>
          <t>SRS评审与需求基线冻结◆M1</t>
        </is>
      </c>
      <c r="C22" s="23" t="n">
        <v>3</v>
      </c>
      <c r="D22" s="25" t="inlineStr">
        <is>
          <t>评审记录、基线确认单</t>
        </is>
      </c>
      <c r="E22" s="23" t="inlineStr">
        <is>
          <t>Mandy</t>
        </is>
      </c>
      <c r="F22" s="47" t="n">
        <v>46289</v>
      </c>
      <c r="G22" s="47" t="n">
        <v>46289</v>
      </c>
      <c r="H22" s="23" t="n">
        <v>1</v>
      </c>
      <c r="I22" s="48" t="n">
        <v>1</v>
      </c>
      <c r="J22" s="25" t="inlineStr">
        <is>
          <t>人工主导</t>
        </is>
      </c>
      <c r="K22" s="25" t="inlineStr">
        <is>
          <t>2.2.1</t>
        </is>
      </c>
      <c r="L22" s="23" t="inlineStr">
        <is>
          <t>未开始</t>
        </is>
      </c>
      <c r="M22" s="28" t="n">
        <v>0</v>
      </c>
      <c r="N22" s="23" t="inlineStr">
        <is>
          <t>高</t>
        </is>
      </c>
      <c r="O22" s="29" t="n"/>
      <c r="P22" s="29" t="n"/>
      <c r="Q22" s="25" t="inlineStr">
        <is>
          <t>★M1 9/24（中秋假期前最后一个工作日）</t>
        </is>
      </c>
    </row>
    <row r="23">
      <c r="A23" s="15" t="inlineStr">
        <is>
          <t>2.3</t>
        </is>
      </c>
      <c r="B23" s="16" t="inlineStr">
        <is>
          <t>测试需求与非功能需求</t>
        </is>
      </c>
      <c r="C23" s="15" t="n">
        <v>2</v>
      </c>
      <c r="D23" s="17" t="inlineStr">
        <is>
          <t>非功能指标清单、测试计划、CC验证场景清单、用例库v0.1</t>
        </is>
      </c>
      <c r="E23" s="15" t="inlineStr">
        <is>
          <t>Mandy</t>
        </is>
      </c>
      <c r="F23" s="45" t="n">
        <v>46293</v>
      </c>
      <c r="G23" s="45" t="n">
        <v>46303</v>
      </c>
      <c r="H23" s="15" t="n">
        <v>4</v>
      </c>
      <c r="I23" s="46">
        <f>ROUND(SUMPRODUCT(($C$24:$C$26=3)*(LEFT($A$24:$A$26,LEN(A23))=A23)*$I$24:$I$26),2)</f>
        <v/>
      </c>
      <c r="J23" s="17" t="inlineStr"/>
      <c r="K23" s="17" t="inlineStr"/>
      <c r="L23" s="15" t="inlineStr">
        <is>
          <t>未开始</t>
        </is>
      </c>
      <c r="M23" s="20" t="n">
        <v>0</v>
      </c>
      <c r="N23" s="15" t="inlineStr">
        <is>
          <t>高</t>
        </is>
      </c>
      <c r="O23" s="21" t="n"/>
      <c r="P23" s="21" t="n"/>
      <c r="Q23" s="17" t="inlineStr">
        <is>
          <t>功能（26项）与非功能需求统一梳理</t>
        </is>
      </c>
    </row>
    <row r="24">
      <c r="A24" s="15" t="inlineStr">
        <is>
          <t>2.3.1</t>
        </is>
      </c>
      <c r="B24" s="22" t="inlineStr">
        <is>
          <t>NFR测试可执行化（将SRS中NFR基线细化为可测验收标准：检索响应/导出吞吐/并发/越权与掩码旁路用例集/RPO·RTO/容量上限，供6.3.2/7.2.3/7.2.6对照）</t>
        </is>
      </c>
      <c r="C24" s="15" t="n">
        <v>3</v>
      </c>
      <c r="D24" s="17" t="inlineStr">
        <is>
          <t>NFR可测验收标准清单</t>
        </is>
      </c>
      <c r="E24" s="15" t="inlineStr">
        <is>
          <t>Mandy</t>
        </is>
      </c>
      <c r="F24" s="45" t="n">
        <v>46293</v>
      </c>
      <c r="G24" s="45" t="n">
        <v>46293</v>
      </c>
      <c r="H24" s="15" t="n">
        <v>1</v>
      </c>
      <c r="I24" s="46" t="n">
        <v>1</v>
      </c>
      <c r="J24" s="17" t="inlineStr">
        <is>
          <t>AI辅助</t>
        </is>
      </c>
      <c r="K24" s="17" t="inlineStr">
        <is>
          <t>2.2.2</t>
        </is>
      </c>
      <c r="L24" s="15" t="inlineStr">
        <is>
          <t>未开始</t>
        </is>
      </c>
      <c r="M24" s="20" t="n">
        <v>0</v>
      </c>
      <c r="N24" s="15" t="inlineStr">
        <is>
          <t>高</t>
        </is>
      </c>
      <c r="O24" s="21" t="n"/>
      <c r="P24" s="21" t="inlineStr">
        <is>
          <t>NFR基线已随SRS于M1冻结；本任务只做测试化转译，不改变基线</t>
        </is>
      </c>
      <c r="Q24" s="17" t="inlineStr">
        <is>
          <t>与26项功能同一基线管理，后续设计/测试逐项对应</t>
        </is>
      </c>
    </row>
    <row r="25">
      <c r="A25" s="15" t="inlineStr">
        <is>
          <t>2.3.2</t>
        </is>
      </c>
      <c r="B25" s="22" t="inlineStr">
        <is>
          <t>测试计划框架+CC（Caring Center）验证场景清单</t>
        </is>
      </c>
      <c r="C25" s="15" t="n">
        <v>3</v>
      </c>
      <c r="D25" s="17" t="inlineStr">
        <is>
          <t>测试计划、场景清单</t>
        </is>
      </c>
      <c r="E25" s="15" t="inlineStr">
        <is>
          <t>Mandy</t>
        </is>
      </c>
      <c r="F25" s="45" t="n">
        <v>46294</v>
      </c>
      <c r="G25" s="45" t="n">
        <v>46294</v>
      </c>
      <c r="H25" s="15" t="n">
        <v>1</v>
      </c>
      <c r="I25" s="46" t="n">
        <v>1</v>
      </c>
      <c r="J25" s="17" t="inlineStr">
        <is>
          <t>人工主导</t>
        </is>
      </c>
      <c r="K25" s="17" t="inlineStr">
        <is>
          <t>2.3.1</t>
        </is>
      </c>
      <c r="L25" s="15" t="inlineStr">
        <is>
          <t>未开始</t>
        </is>
      </c>
      <c r="M25" s="20" t="n">
        <v>0</v>
      </c>
      <c r="N25" s="15" t="inlineStr">
        <is>
          <t>高</t>
        </is>
      </c>
      <c r="O25" s="21" t="n"/>
      <c r="P25" s="21" t="n"/>
      <c r="Q25" s="17" t="inlineStr">
        <is>
          <t>CC为本项目验证系统</t>
        </is>
      </c>
    </row>
    <row r="26">
      <c r="A26" s="15" t="inlineStr">
        <is>
          <t>2.3.3</t>
        </is>
      </c>
      <c r="B26" s="22" t="inlineStr">
        <is>
          <t>AI生成测试用例首批（F01迁移/F08用户权限系列）</t>
        </is>
      </c>
      <c r="C26" s="15" t="n">
        <v>3</v>
      </c>
      <c r="D26" s="17" t="inlineStr">
        <is>
          <t>用例库v0.1</t>
        </is>
      </c>
      <c r="E26" s="15" t="inlineStr">
        <is>
          <t>Mandy</t>
        </is>
      </c>
      <c r="F26" s="45" t="n">
        <v>46295</v>
      </c>
      <c r="G26" s="45" t="n">
        <v>46303</v>
      </c>
      <c r="H26" s="15" t="n">
        <v>2</v>
      </c>
      <c r="I26" s="46" t="n">
        <v>1.5</v>
      </c>
      <c r="J26" s="17" t="inlineStr">
        <is>
          <t>AI生成+人工审核</t>
        </is>
      </c>
      <c r="K26" s="17" t="inlineStr">
        <is>
          <t>2.3.2</t>
        </is>
      </c>
      <c r="L26" s="15" t="inlineStr">
        <is>
          <t>未开始</t>
        </is>
      </c>
      <c r="M26" s="20" t="n">
        <v>0</v>
      </c>
      <c r="N26" s="15" t="inlineStr">
        <is>
          <t>高</t>
        </is>
      </c>
      <c r="O26" s="21" t="n"/>
      <c r="P26" s="21" t="n"/>
      <c r="Q26" s="17" t="inlineStr">
        <is>
          <t>人工补充边界条件与越权/旁路用例</t>
        </is>
      </c>
    </row>
    <row r="27">
      <c r="A27" s="15" t="inlineStr">
        <is>
          <t>2.4</t>
        </is>
      </c>
      <c r="B27" s="16" t="inlineStr">
        <is>
          <t>需求贯穿支持（开发执行期）</t>
        </is>
      </c>
      <c r="C27" s="15" t="n">
        <v>2</v>
      </c>
      <c r="D27" s="17" t="inlineStr">
        <is>
          <t>需求变更记录、需求澄清纪要</t>
        </is>
      </c>
      <c r="E27" s="15" t="inlineStr">
        <is>
          <t>Mandy</t>
        </is>
      </c>
      <c r="F27" s="45" t="n">
        <v>46303</v>
      </c>
      <c r="G27" s="45" t="n">
        <v>46360</v>
      </c>
      <c r="H27" s="15" t="n">
        <v>42</v>
      </c>
      <c r="I27" s="46">
        <f>ROUND(SUMPRODUCT(($C$28:$C$28=3)*(LEFT($A$28:$A$28,LEN(A27))=A27)*$I$28:$I$28),2)</f>
        <v/>
      </c>
      <c r="J27" s="17" t="inlineStr"/>
      <c r="K27" s="17" t="inlineStr"/>
      <c r="L27" s="15" t="inlineStr">
        <is>
          <t>未开始</t>
        </is>
      </c>
      <c r="M27" s="20" t="n">
        <v>0</v>
      </c>
      <c r="N27" s="15" t="inlineStr">
        <is>
          <t>中</t>
        </is>
      </c>
      <c r="O27" s="21" t="n"/>
      <c r="P27" s="21" t="n"/>
      <c r="Q27" s="17" t="inlineStr">
        <is>
          <t>开发期持续澄清与变更评估</t>
        </is>
      </c>
    </row>
    <row r="28">
      <c r="A28" s="15" t="inlineStr">
        <is>
          <t>2.4.1</t>
        </is>
      </c>
      <c r="B28" s="22" t="inlineStr">
        <is>
          <t>需求澄清与变更支持（贯穿开发期：功能+非功能）</t>
        </is>
      </c>
      <c r="C28" s="15" t="n">
        <v>3</v>
      </c>
      <c r="D28" s="17" t="inlineStr">
        <is>
          <t>需求变更记录、需求澄清纪要</t>
        </is>
      </c>
      <c r="E28" s="15" t="inlineStr">
        <is>
          <t>Mandy</t>
        </is>
      </c>
      <c r="F28" s="45" t="n">
        <v>46303</v>
      </c>
      <c r="G28" s="45" t="n">
        <v>46360</v>
      </c>
      <c r="H28" s="15" t="n">
        <v>42</v>
      </c>
      <c r="I28" s="46" t="n">
        <v>1</v>
      </c>
      <c r="J28" s="17" t="inlineStr">
        <is>
          <t>AI辅助</t>
        </is>
      </c>
      <c r="K28" s="17" t="inlineStr">
        <is>
          <t>2.2.2</t>
        </is>
      </c>
      <c r="L28" s="15" t="inlineStr">
        <is>
          <t>未开始</t>
        </is>
      </c>
      <c r="M28" s="20" t="n">
        <v>0</v>
      </c>
      <c r="N28" s="15" t="inlineStr">
        <is>
          <t>中</t>
        </is>
      </c>
      <c r="O28" s="21" t="n"/>
      <c r="P28" s="21" t="n"/>
      <c r="Q28" s="17" t="inlineStr">
        <is>
          <t>每周约0.2人天×8周，穿插执行</t>
        </is>
      </c>
    </row>
    <row r="29">
      <c r="A29" s="8" t="inlineStr">
        <is>
          <t>3</t>
        </is>
      </c>
      <c r="B29" s="9" t="inlineStr">
        <is>
          <t>架构与设计定稿（架构图已预确认·AI加速收尾）</t>
        </is>
      </c>
      <c r="C29" s="8" t="n">
        <v>1</v>
      </c>
      <c r="D29" s="10" t="inlineStr">
        <is>
          <t>架构文档、接口定义、数据字典、迁移/安全与非功能设计方案</t>
        </is>
      </c>
      <c r="E29" s="8" t="inlineStr">
        <is>
          <t>Wade/DevB</t>
        </is>
      </c>
      <c r="F29" s="43" t="n">
        <v>46279</v>
      </c>
      <c r="G29" s="43" t="n">
        <v>46304</v>
      </c>
      <c r="H29" s="8" t="n">
        <v>14</v>
      </c>
      <c r="I29" s="44">
        <f>ROUND(SUMPRODUCT(($C$30:$C$50=3)*(LEFT($A$30:$A$50,LEN(A29))=A29)*$I$30:$I$50),2)</f>
        <v/>
      </c>
      <c r="J29" s="10" t="inlineStr"/>
      <c r="K29" s="10" t="inlineStr"/>
      <c r="L29" s="8" t="inlineStr">
        <is>
          <t>未开始</t>
        </is>
      </c>
      <c r="M29" s="13" t="n">
        <v>0</v>
      </c>
      <c r="N29" s="8" t="inlineStr">
        <is>
          <t>高</t>
        </is>
      </c>
      <c r="O29" s="14" t="n"/>
      <c r="P29" s="14" t="n"/>
      <c r="Q29" s="10" t="inlineStr">
        <is>
          <t>架构图已基本确认，设计收尾压缩；M2=10/9</t>
        </is>
      </c>
    </row>
    <row r="30">
      <c r="A30" s="15" t="inlineStr">
        <is>
          <t>3.1</t>
        </is>
      </c>
      <c r="B30" s="16" t="inlineStr">
        <is>
          <t>项目初始化与AI工程基座（Wade）</t>
        </is>
      </c>
      <c r="C30" s="15" t="n">
        <v>2</v>
      </c>
      <c r="D30" s="17" t="inlineStr">
        <is>
          <t>初始化清单、AI开发规范、四道门禁CI/CD、前端骨架</t>
        </is>
      </c>
      <c r="E30" s="15" t="inlineStr">
        <is>
          <t>Wade</t>
        </is>
      </c>
      <c r="F30" s="45" t="n">
        <v>46279</v>
      </c>
      <c r="G30" s="45" t="n">
        <v>46283</v>
      </c>
      <c r="H30" s="15" t="n">
        <v>5</v>
      </c>
      <c r="I30" s="46">
        <f>ROUND(SUMPRODUCT(($C$31:$C$34=3)*(LEFT($A$31:$A$34,LEN(A30))=A30)*$I$31:$I$34),2)</f>
        <v/>
      </c>
      <c r="J30" s="17" t="inlineStr"/>
      <c r="K30" s="17" t="inlineStr"/>
      <c r="L30" s="15" t="inlineStr">
        <is>
          <t>未开始</t>
        </is>
      </c>
      <c r="M30" s="20" t="n">
        <v>0</v>
      </c>
      <c r="N30" s="15" t="inlineStr">
        <is>
          <t>高</t>
        </is>
      </c>
      <c r="O30" s="21" t="n"/>
      <c r="P30" s="21" t="n"/>
      <c r="Q30" s="17" t="inlineStr">
        <is>
          <t>项目启动即前置：先立环境与规矩，再生成代码</t>
        </is>
      </c>
    </row>
    <row r="31">
      <c r="A31" s="15" t="inlineStr">
        <is>
          <t>3.1.1</t>
        </is>
      </c>
      <c r="B31" s="22" t="inlineStr">
        <is>
          <t>项目初始化：代码仓库/分支策略/开发环境统一/AI工具账号开通（含初始化核对清单）</t>
        </is>
      </c>
      <c r="C31" s="15" t="n">
        <v>3</v>
      </c>
      <c r="D31" s="17" t="inlineStr">
        <is>
          <t>初始化核对清单、可用的空仓库与本地环境</t>
        </is>
      </c>
      <c r="E31" s="15" t="inlineStr">
        <is>
          <t>Wade</t>
        </is>
      </c>
      <c r="F31" s="45" t="n">
        <v>46279</v>
      </c>
      <c r="G31" s="45" t="n">
        <v>46279</v>
      </c>
      <c r="H31" s="15" t="n">
        <v>1</v>
      </c>
      <c r="I31" s="46" t="n">
        <v>1</v>
      </c>
      <c r="J31" s="17" t="inlineStr">
        <is>
          <t>人工主导</t>
        </is>
      </c>
      <c r="K31" s="17" t="inlineStr"/>
      <c r="L31" s="15" t="inlineStr">
        <is>
          <t>未开始</t>
        </is>
      </c>
      <c r="M31" s="20" t="n">
        <v>0</v>
      </c>
      <c r="N31" s="15" t="inlineStr">
        <is>
          <t>高</t>
        </is>
      </c>
      <c r="O31" s="21" t="n"/>
      <c r="P31" s="21" t="n"/>
      <c r="Q31" s="17" t="inlineStr">
        <is>
          <t>前后端仓库、分支策略、Docker本地环境、AI工具账号一次性就绪</t>
        </is>
      </c>
    </row>
    <row r="32">
      <c r="A32" s="15" t="inlineStr">
        <is>
          <t>3.1.2</t>
        </is>
      </c>
      <c r="B32" s="22" t="inlineStr">
        <is>
          <t>AI开发工具链与编码规范（AI Coding工作流/人机协作规约/提示词模板库/ADR规范）</t>
        </is>
      </c>
      <c r="C32" s="15" t="n">
        <v>3</v>
      </c>
      <c r="D32" s="17" t="inlineStr">
        <is>
          <t>AI开发规范V1.0、工具链配置</t>
        </is>
      </c>
      <c r="E32" s="15" t="inlineStr">
        <is>
          <t>Wade</t>
        </is>
      </c>
      <c r="F32" s="45" t="n">
        <v>46280</v>
      </c>
      <c r="G32" s="45" t="n">
        <v>46280</v>
      </c>
      <c r="H32" s="15" t="n">
        <v>1</v>
      </c>
      <c r="I32" s="46" t="n">
        <v>1</v>
      </c>
      <c r="J32" s="17" t="inlineStr">
        <is>
          <t>人工主导</t>
        </is>
      </c>
      <c r="K32" s="17" t="inlineStr">
        <is>
          <t>3.1.1</t>
        </is>
      </c>
      <c r="L32" s="15" t="inlineStr">
        <is>
          <t>未开始</t>
        </is>
      </c>
      <c r="M32" s="20" t="n">
        <v>0</v>
      </c>
      <c r="N32" s="15" t="inlineStr">
        <is>
          <t>高</t>
        </is>
      </c>
      <c r="O32" s="21" t="n"/>
      <c r="P32" s="21" t="n"/>
      <c r="Q32" s="17" t="inlineStr">
        <is>
          <t>替代传统模式的前置详细设计，决策走ADR留痕</t>
        </is>
      </c>
    </row>
    <row r="33">
      <c r="A33" s="15" t="inlineStr">
        <is>
          <t>3.1.3</t>
        </is>
      </c>
      <c r="B33" s="22" t="inlineStr">
        <is>
          <t>四道安全门禁CI/CD搭建（Azure DevOps：构建+镜像+SAST/依赖/密钥扫描/越权用例门禁，并Service Connection连接K8s、配测试环境部署流水线，4人天：流水线搭建/扫描工具接入/越权用例门禁/拦截样例演示）</t>
        </is>
      </c>
      <c r="C33" s="15" t="n">
        <v>3</v>
      </c>
      <c r="D33" s="17" t="inlineStr">
        <is>
          <t>CI/CD流水线（4道硬门禁+K8s部署）</t>
        </is>
      </c>
      <c r="E33" s="15" t="inlineStr">
        <is>
          <t>Wade</t>
        </is>
      </c>
      <c r="F33" s="45" t="n">
        <v>46281</v>
      </c>
      <c r="G33" s="45" t="n">
        <v>46286</v>
      </c>
      <c r="H33" s="15" t="n">
        <v>4</v>
      </c>
      <c r="I33" s="46" t="n">
        <v>4</v>
      </c>
      <c r="J33" s="17" t="inlineStr">
        <is>
          <t>AI生成+人工审核</t>
        </is>
      </c>
      <c r="K33" s="17" t="inlineStr">
        <is>
          <t>3.1.2</t>
        </is>
      </c>
      <c r="L33" s="15" t="inlineStr">
        <is>
          <t>未开始</t>
        </is>
      </c>
      <c r="M33" s="20" t="n">
        <v>0</v>
      </c>
      <c r="N33" s="15" t="inlineStr">
        <is>
          <t>高</t>
        </is>
      </c>
      <c r="O33" s="21" t="n"/>
      <c r="P33" s="21" t="n"/>
      <c r="Q33" s="17" t="inlineStr">
        <is>
          <t>4人天；门禁不可bypass（风险清单B措施），需演示拦截样例</t>
        </is>
      </c>
    </row>
    <row r="34">
      <c r="A34" s="15" t="inlineStr">
        <is>
          <t>3.1.4</t>
        </is>
      </c>
      <c r="B34" s="22" t="inlineStr">
        <is>
          <t>前端工程初始化（AI生成：React骨架/路由/布局/组件库）</t>
        </is>
      </c>
      <c r="C34" s="15" t="n">
        <v>3</v>
      </c>
      <c r="D34" s="17" t="inlineStr">
        <is>
          <t>可运行前端骨架工程</t>
        </is>
      </c>
      <c r="E34" s="15" t="inlineStr">
        <is>
          <t>Wade</t>
        </is>
      </c>
      <c r="F34" s="45" t="n">
        <v>46287</v>
      </c>
      <c r="G34" s="45" t="n">
        <v>46287</v>
      </c>
      <c r="H34" s="15" t="n">
        <v>1</v>
      </c>
      <c r="I34" s="46" t="n">
        <v>1</v>
      </c>
      <c r="J34" s="17" t="inlineStr">
        <is>
          <t>AI生成+人工审核</t>
        </is>
      </c>
      <c r="K34" s="17" t="inlineStr">
        <is>
          <t>3.1.3</t>
        </is>
      </c>
      <c r="L34" s="15" t="inlineStr">
        <is>
          <t>未开始</t>
        </is>
      </c>
      <c r="M34" s="20" t="n">
        <v>0</v>
      </c>
      <c r="N34" s="15" t="inlineStr">
        <is>
          <t>高</t>
        </is>
      </c>
      <c r="O34" s="21" t="n"/>
      <c r="P34" s="21" t="n"/>
      <c r="Q34" s="17" t="inlineStr">
        <is>
          <t>不等设计完成即启动</t>
        </is>
      </c>
    </row>
    <row r="35">
      <c r="A35" s="15" t="inlineStr">
        <is>
          <t>3.2</t>
        </is>
      </c>
      <c r="B35" s="16" t="inlineStr">
        <is>
          <t>数据与后端设计（DevB）</t>
        </is>
      </c>
      <c r="C35" s="15" t="n">
        <v>2</v>
      </c>
      <c r="D35" s="17" t="inlineStr">
        <is>
          <t>后端骨架、DDL、分层设计、迁移/安全方案、数据字典</t>
        </is>
      </c>
      <c r="E35" s="15" t="inlineStr">
        <is>
          <t>DevB</t>
        </is>
      </c>
      <c r="F35" s="45" t="n">
        <v>46279</v>
      </c>
      <c r="G35" s="45" t="n">
        <v>46304</v>
      </c>
      <c r="H35" s="15" t="n">
        <v>14</v>
      </c>
      <c r="I35" s="46">
        <f>ROUND(SUMPRODUCT(($C$36:$C$43=3)*(LEFT($A$36:$A$43,LEN(A35))=A35)*$I$36:$I$43),2)</f>
        <v/>
      </c>
      <c r="J35" s="17" t="inlineStr"/>
      <c r="K35" s="17" t="inlineStr"/>
      <c r="L35" s="15" t="inlineStr">
        <is>
          <t>未开始</t>
        </is>
      </c>
      <c r="M35" s="20" t="n">
        <v>0</v>
      </c>
      <c r="N35" s="15" t="inlineStr">
        <is>
          <t>高</t>
        </is>
      </c>
      <c r="O35" s="21" t="n"/>
      <c r="P35" s="21" t="n"/>
      <c r="Q35" s="17" t="inlineStr"/>
    </row>
    <row r="36">
      <c r="A36" s="15" t="inlineStr">
        <is>
          <t>3.2.1</t>
        </is>
      </c>
      <c r="B36" s="22" t="inlineStr">
        <is>
          <t>后端工程初始化（AI生成：Clean Architecture+EF Core+Docker Compose本地环境）</t>
        </is>
      </c>
      <c r="C36" s="15" t="n">
        <v>3</v>
      </c>
      <c r="D36" s="17" t="inlineStr">
        <is>
          <t>可编译后端骨架工程</t>
        </is>
      </c>
      <c r="E36" s="15" t="inlineStr">
        <is>
          <t>DevB</t>
        </is>
      </c>
      <c r="F36" s="45" t="n">
        <v>46279</v>
      </c>
      <c r="G36" s="45" t="n">
        <v>46280</v>
      </c>
      <c r="H36" s="15" t="n">
        <v>2</v>
      </c>
      <c r="I36" s="46" t="n">
        <v>2</v>
      </c>
      <c r="J36" s="17" t="inlineStr">
        <is>
          <t>AI生成+人工审核</t>
        </is>
      </c>
      <c r="K36" s="17" t="inlineStr">
        <is>
          <t>3.1.1</t>
        </is>
      </c>
      <c r="L36" s="15" t="inlineStr">
        <is>
          <t>未开始</t>
        </is>
      </c>
      <c r="M36" s="20" t="n">
        <v>0</v>
      </c>
      <c r="N36" s="15" t="inlineStr">
        <is>
          <t>高</t>
        </is>
      </c>
      <c r="O36" s="21" t="n"/>
      <c r="P36" s="21" t="n"/>
      <c r="Q36" s="17" t="inlineStr">
        <is>
          <t>与3.1.1项目初始化衔接，本地一键起环境</t>
        </is>
      </c>
    </row>
    <row r="37">
      <c r="A37" s="15" t="inlineStr">
        <is>
          <t>3.2.2</t>
        </is>
      </c>
      <c r="B37" s="22" t="inlineStr">
        <is>
          <t>目标数据模型预设计（RAW→CURATED→LAKE→SERVE四层表结构草案）</t>
        </is>
      </c>
      <c r="C37" s="15" t="n">
        <v>3</v>
      </c>
      <c r="D37" s="17" t="inlineStr">
        <is>
          <t>四层表结构草案</t>
        </is>
      </c>
      <c r="E37" s="15" t="inlineStr">
        <is>
          <t>DevB</t>
        </is>
      </c>
      <c r="F37" s="45" t="n">
        <v>46281</v>
      </c>
      <c r="G37" s="45" t="n">
        <v>46282</v>
      </c>
      <c r="H37" s="15" t="n">
        <v>2</v>
      </c>
      <c r="I37" s="46" t="n">
        <v>2</v>
      </c>
      <c r="J37" s="17" t="inlineStr">
        <is>
          <t>AI辅助</t>
        </is>
      </c>
      <c r="K37" s="17" t="inlineStr"/>
      <c r="L37" s="15" t="inlineStr">
        <is>
          <t>未开始</t>
        </is>
      </c>
      <c r="M37" s="20" t="n">
        <v>0</v>
      </c>
      <c r="N37" s="15" t="inlineStr">
        <is>
          <t>高</t>
        </is>
      </c>
      <c r="O37" s="21" t="n"/>
      <c r="P37" s="21" t="n"/>
      <c r="Q37" s="17" t="inlineStr">
        <is>
          <t>架构分层已确认，仅做表级细化</t>
        </is>
      </c>
    </row>
    <row r="38">
      <c r="A38" s="15" t="inlineStr">
        <is>
          <t>3.2.3</t>
        </is>
      </c>
      <c r="B38" s="22" t="inlineStr">
        <is>
          <t>外部依赖前置：平台资源申请+CC只读账号申请</t>
        </is>
      </c>
      <c r="C38" s="15" t="n">
        <v>3</v>
      </c>
      <c r="D38" s="17" t="inlineStr">
        <is>
          <t>申请单、外部依赖清单</t>
        </is>
      </c>
      <c r="E38" s="15" t="inlineStr">
        <is>
          <t>DevB</t>
        </is>
      </c>
      <c r="F38" s="45" t="n">
        <v>46283</v>
      </c>
      <c r="G38" s="45" t="n">
        <v>46283</v>
      </c>
      <c r="H38" s="15" t="n">
        <v>1</v>
      </c>
      <c r="I38" s="46" t="n">
        <v>1</v>
      </c>
      <c r="J38" s="17" t="inlineStr">
        <is>
          <t>人工主导</t>
        </is>
      </c>
      <c r="K38" s="17" t="inlineStr"/>
      <c r="L38" s="15" t="inlineStr">
        <is>
          <t>未开始</t>
        </is>
      </c>
      <c r="M38" s="20" t="n">
        <v>0</v>
      </c>
      <c r="N38" s="15" t="inlineStr">
        <is>
          <t>高</t>
        </is>
      </c>
      <c r="O38" s="21" t="n"/>
      <c r="P38" s="21" t="n"/>
      <c r="Q38" s="17" t="inlineStr">
        <is>
          <t>★关键路径：账号周期最长，11/16 CC演练依赖</t>
        </is>
      </c>
    </row>
    <row r="39">
      <c r="A39" s="15" t="inlineStr">
        <is>
          <t>3.2.4</t>
        </is>
      </c>
      <c r="B39" s="22" t="inlineStr">
        <is>
          <t>元数据库建库脚本（35表DDL草案）</t>
        </is>
      </c>
      <c r="C39" s="15" t="n">
        <v>3</v>
      </c>
      <c r="D39" s="17" t="inlineStr">
        <is>
          <t>DDL脚本</t>
        </is>
      </c>
      <c r="E39" s="15" t="inlineStr">
        <is>
          <t>DevB</t>
        </is>
      </c>
      <c r="F39" s="45" t="n">
        <v>46286</v>
      </c>
      <c r="G39" s="45" t="n">
        <v>46287</v>
      </c>
      <c r="H39" s="15" t="n">
        <v>2</v>
      </c>
      <c r="I39" s="46" t="n">
        <v>2</v>
      </c>
      <c r="J39" s="17" t="inlineStr">
        <is>
          <t>AI生成+人工审核</t>
        </is>
      </c>
      <c r="K39" s="17" t="inlineStr">
        <is>
          <t>3.2.2</t>
        </is>
      </c>
      <c r="L39" s="15" t="inlineStr">
        <is>
          <t>未开始</t>
        </is>
      </c>
      <c r="M39" s="20" t="n">
        <v>0</v>
      </c>
      <c r="N39" s="15" t="inlineStr">
        <is>
          <t>高</t>
        </is>
      </c>
      <c r="O39" s="21" t="n"/>
      <c r="P39" s="21" t="n"/>
      <c r="Q39" s="17" t="inlineStr"/>
    </row>
    <row r="40">
      <c r="A40" s="15" t="inlineStr">
        <is>
          <t>3.2.5</t>
        </is>
      </c>
      <c r="B40" s="22" t="inlineStr">
        <is>
          <t>湖仓分层设计细化（分区sys_id+日期/Parquet+ZSTD/湖与附件存储划分）</t>
        </is>
      </c>
      <c r="C40" s="15" t="n">
        <v>3</v>
      </c>
      <c r="D40" s="17" t="inlineStr">
        <is>
          <t>分层设计说明</t>
        </is>
      </c>
      <c r="E40" s="15" t="inlineStr">
        <is>
          <t>DevB</t>
        </is>
      </c>
      <c r="F40" s="45" t="n">
        <v>46288</v>
      </c>
      <c r="G40" s="45" t="n">
        <v>46289</v>
      </c>
      <c r="H40" s="15" t="n">
        <v>2</v>
      </c>
      <c r="I40" s="46" t="n">
        <v>2</v>
      </c>
      <c r="J40" s="17" t="inlineStr">
        <is>
          <t>人工主导</t>
        </is>
      </c>
      <c r="K40" s="17" t="inlineStr">
        <is>
          <t>3.2.2</t>
        </is>
      </c>
      <c r="L40" s="15" t="inlineStr">
        <is>
          <t>未开始</t>
        </is>
      </c>
      <c r="M40" s="20" t="n">
        <v>0</v>
      </c>
      <c r="N40" s="15" t="inlineStr">
        <is>
          <t>高</t>
        </is>
      </c>
      <c r="O40" s="21" t="n"/>
      <c r="P40" s="21" t="n"/>
      <c r="Q40" s="17" t="inlineStr"/>
    </row>
    <row r="41">
      <c r="A41" s="15" t="inlineStr">
        <is>
          <t>3.2.6</t>
        </is>
      </c>
      <c r="B41" s="22" t="inlineStr">
        <is>
          <t>元数据库设计定稿（ER+35表+Migration）+数据字典v1（AI辅助）</t>
        </is>
      </c>
      <c r="C41" s="15" t="n">
        <v>3</v>
      </c>
      <c r="D41" s="17" t="inlineStr">
        <is>
          <t>ER图、数据字典v1</t>
        </is>
      </c>
      <c r="E41" s="15" t="inlineStr">
        <is>
          <t>DevB</t>
        </is>
      </c>
      <c r="F41" s="45" t="n">
        <v>46293</v>
      </c>
      <c r="G41" s="45" t="n">
        <v>46294</v>
      </c>
      <c r="H41" s="15" t="n">
        <v>2</v>
      </c>
      <c r="I41" s="46" t="n">
        <v>2</v>
      </c>
      <c r="J41" s="17" t="inlineStr">
        <is>
          <t>AI辅助</t>
        </is>
      </c>
      <c r="K41" s="17" t="inlineStr">
        <is>
          <t>3.2.4;2.2.2</t>
        </is>
      </c>
      <c r="L41" s="15" t="inlineStr">
        <is>
          <t>未开始</t>
        </is>
      </c>
      <c r="M41" s="20" t="n">
        <v>0</v>
      </c>
      <c r="N41" s="15" t="inlineStr">
        <is>
          <t>高</t>
        </is>
      </c>
      <c r="O41" s="21" t="n"/>
      <c r="P41" s="21" t="n"/>
      <c r="Q41" s="17" t="inlineStr"/>
    </row>
    <row r="42">
      <c r="A42" s="15" t="inlineStr">
        <is>
          <t>3.2.7</t>
        </is>
      </c>
      <c r="B42" s="22" t="inlineStr">
        <is>
          <t>F01迁移方案定稿（SeaTunnel配置生成器+四层转换规则：类型映射/清洗/分区归约）</t>
        </is>
      </c>
      <c r="C42" s="15" t="n">
        <v>3</v>
      </c>
      <c r="D42" s="17" t="inlineStr">
        <is>
          <t>迁移设计文档</t>
        </is>
      </c>
      <c r="E42" s="15" t="inlineStr">
        <is>
          <t>DevB</t>
        </is>
      </c>
      <c r="F42" s="45" t="n">
        <v>46295</v>
      </c>
      <c r="G42" s="45" t="n">
        <v>46303</v>
      </c>
      <c r="H42" s="15" t="n">
        <v>2</v>
      </c>
      <c r="I42" s="46" t="n">
        <v>2</v>
      </c>
      <c r="J42" s="17" t="inlineStr">
        <is>
          <t>人工主导</t>
        </is>
      </c>
      <c r="K42" s="17" t="inlineStr">
        <is>
          <t>3.2.6</t>
        </is>
      </c>
      <c r="L42" s="15" t="inlineStr">
        <is>
          <t>未开始</t>
        </is>
      </c>
      <c r="M42" s="20" t="n">
        <v>0</v>
      </c>
      <c r="N42" s="15" t="inlineStr">
        <is>
          <t>高</t>
        </is>
      </c>
      <c r="O42" s="21" t="n"/>
      <c r="P42" s="21" t="n"/>
      <c r="Q42" s="17" t="inlineStr">
        <is>
          <t>跨中秋/国庆假期，10/8续</t>
        </is>
      </c>
    </row>
    <row r="43">
      <c r="A43" s="15" t="inlineStr">
        <is>
          <t>3.2.8</t>
        </is>
      </c>
      <c r="B43" s="22" t="inlineStr">
        <is>
          <t>F04与非功能设计定稿（加密/密钥/备份灾备方案+性能容量与「数据不出境」合规基线，对应2.2.1 NFR基线）</t>
        </is>
      </c>
      <c r="C43" s="15" t="n">
        <v>3</v>
      </c>
      <c r="D43" s="17" t="inlineStr">
        <is>
          <t>存储安全与非功能设计文档</t>
        </is>
      </c>
      <c r="E43" s="15" t="inlineStr">
        <is>
          <t>DevB</t>
        </is>
      </c>
      <c r="F43" s="45" t="n">
        <v>46304</v>
      </c>
      <c r="G43" s="45" t="n">
        <v>46304</v>
      </c>
      <c r="H43" s="15" t="n">
        <v>1</v>
      </c>
      <c r="I43" s="46" t="n">
        <v>1</v>
      </c>
      <c r="J43" s="17" t="inlineStr">
        <is>
          <t>AI辅助</t>
        </is>
      </c>
      <c r="K43" s="17" t="inlineStr">
        <is>
          <t>3.2.5;2.2.2</t>
        </is>
      </c>
      <c r="L43" s="15" t="inlineStr">
        <is>
          <t>未开始</t>
        </is>
      </c>
      <c r="M43" s="20" t="n">
        <v>0</v>
      </c>
      <c r="N43" s="15" t="inlineStr">
        <is>
          <t>高</t>
        </is>
      </c>
      <c r="O43" s="21" t="n"/>
      <c r="P43" s="21" t="n"/>
      <c r="Q43" s="17" t="inlineStr"/>
    </row>
    <row r="44">
      <c r="A44" s="15" t="inlineStr">
        <is>
          <t>3.3</t>
        </is>
      </c>
      <c r="B44" s="16" t="inlineStr">
        <is>
          <t>架构与接口定稿（Wade）</t>
        </is>
      </c>
      <c r="C44" s="15" t="n">
        <v>2</v>
      </c>
      <c r="D44" s="17" t="inlineStr">
        <is>
          <t>架构V1.0、接口定义、权限/查询模型、评审记录</t>
        </is>
      </c>
      <c r="E44" s="15" t="inlineStr">
        <is>
          <t>Wade</t>
        </is>
      </c>
      <c r="F44" s="45" t="n">
        <v>46286</v>
      </c>
      <c r="G44" s="45" t="n">
        <v>46304</v>
      </c>
      <c r="H44" s="15" t="n">
        <v>9</v>
      </c>
      <c r="I44" s="46">
        <f>ROUND(SUMPRODUCT(($C$45:$C$50=3)*(LEFT($A$45:$A$50,LEN(A44))=A44)*$I$45:$I$50),2)</f>
        <v/>
      </c>
      <c r="J44" s="17" t="inlineStr"/>
      <c r="K44" s="17" t="inlineStr"/>
      <c r="L44" s="15" t="inlineStr">
        <is>
          <t>未开始</t>
        </is>
      </c>
      <c r="M44" s="20" t="n">
        <v>0</v>
      </c>
      <c r="N44" s="15" t="inlineStr">
        <is>
          <t>高</t>
        </is>
      </c>
      <c r="O44" s="21" t="n"/>
      <c r="P44" s="21" t="n"/>
      <c r="Q44" s="17" t="inlineStr"/>
    </row>
    <row r="45">
      <c r="A45" s="15" t="inlineStr">
        <is>
          <t>3.3.1</t>
        </is>
      </c>
      <c r="B45" s="22" t="inlineStr">
        <is>
          <t>登录页+SSO前端集成（F08-03界面侧）</t>
        </is>
      </c>
      <c r="C45" s="15" t="n">
        <v>3</v>
      </c>
      <c r="D45" s="17" t="inlineStr">
        <is>
          <t>登录页可运行</t>
        </is>
      </c>
      <c r="E45" s="15" t="inlineStr">
        <is>
          <t>Wade</t>
        </is>
      </c>
      <c r="F45" s="45" t="n">
        <v>46288</v>
      </c>
      <c r="G45" s="45" t="n">
        <v>46289</v>
      </c>
      <c r="H45" s="15" t="n">
        <v>2</v>
      </c>
      <c r="I45" s="46" t="n">
        <v>2</v>
      </c>
      <c r="J45" s="17" t="inlineStr">
        <is>
          <t>AI生成+人工审核</t>
        </is>
      </c>
      <c r="K45" s="17" t="inlineStr">
        <is>
          <t>3.1.4</t>
        </is>
      </c>
      <c r="L45" s="15" t="inlineStr">
        <is>
          <t>未开始</t>
        </is>
      </c>
      <c r="M45" s="20" t="n">
        <v>0</v>
      </c>
      <c r="N45" s="15" t="inlineStr">
        <is>
          <t>高</t>
        </is>
      </c>
      <c r="O45" s="21" t="n"/>
      <c r="P45" s="21" t="n"/>
      <c r="Q45" s="17" t="inlineStr">
        <is>
          <t>依赖Entra ID配置</t>
        </is>
      </c>
    </row>
    <row r="46">
      <c r="A46" s="15" t="inlineStr">
        <is>
          <t>3.3.2</t>
        </is>
      </c>
      <c r="B46" s="22" t="inlineStr">
        <is>
          <t>UC权限模型与F05查询配置模型设计（RBAC+Unity Catalog/元数据驱动动态渲染）</t>
        </is>
      </c>
      <c r="C46" s="15" t="n">
        <v>3</v>
      </c>
      <c r="D46" s="17" t="inlineStr">
        <is>
          <t>权限矩阵、查询配置模型</t>
        </is>
      </c>
      <c r="E46" s="15" t="inlineStr">
        <is>
          <t>Wade</t>
        </is>
      </c>
      <c r="F46" s="45" t="n">
        <v>46293</v>
      </c>
      <c r="G46" s="45" t="n">
        <v>46294</v>
      </c>
      <c r="H46" s="15" t="n">
        <v>2</v>
      </c>
      <c r="I46" s="46" t="n">
        <v>2</v>
      </c>
      <c r="J46" s="17" t="inlineStr">
        <is>
          <t>人工主导</t>
        </is>
      </c>
      <c r="K46" s="17" t="inlineStr">
        <is>
          <t>2.2.2</t>
        </is>
      </c>
      <c r="L46" s="15" t="inlineStr">
        <is>
          <t>未开始</t>
        </is>
      </c>
      <c r="M46" s="20" t="n">
        <v>0</v>
      </c>
      <c r="N46" s="15" t="inlineStr">
        <is>
          <t>高</t>
        </is>
      </c>
      <c r="O46" s="21" t="n"/>
      <c r="P46" s="21" t="n"/>
      <c r="Q46" s="17" t="inlineStr"/>
    </row>
    <row r="47">
      <c r="A47" s="15" t="inlineStr">
        <is>
          <t>3.3.3</t>
        </is>
      </c>
      <c r="B47" s="22" t="inlineStr">
        <is>
          <t>平台资源验收（ADLS/SQL DB/Databricks/Key Vault连通性验证）</t>
        </is>
      </c>
      <c r="C47" s="15" t="n">
        <v>3</v>
      </c>
      <c r="D47" s="17" t="inlineStr">
        <is>
          <t>资源验收单</t>
        </is>
      </c>
      <c r="E47" s="15" t="inlineStr">
        <is>
          <t>Wade</t>
        </is>
      </c>
      <c r="F47" s="45" t="n">
        <v>46295</v>
      </c>
      <c r="G47" s="45" t="n">
        <v>46295</v>
      </c>
      <c r="H47" s="15" t="n">
        <v>1</v>
      </c>
      <c r="I47" s="46" t="n">
        <v>0.5</v>
      </c>
      <c r="J47" s="17" t="inlineStr">
        <is>
          <t>人工主导</t>
        </is>
      </c>
      <c r="K47" s="17" t="inlineStr">
        <is>
          <t>3.2.3</t>
        </is>
      </c>
      <c r="L47" s="15" t="inlineStr">
        <is>
          <t>未开始</t>
        </is>
      </c>
      <c r="M47" s="20" t="n">
        <v>0</v>
      </c>
      <c r="N47" s="15" t="inlineStr">
        <is>
          <t>高</t>
        </is>
      </c>
      <c r="O47" s="21" t="n"/>
      <c r="P47" s="21" t="n"/>
      <c r="Q47" s="17" t="inlineStr">
        <is>
          <t>外部依赖：资源交付，逾期3天升级管理层；9/30验收</t>
        </is>
      </c>
    </row>
    <row r="48">
      <c r="A48" s="15" t="inlineStr">
        <is>
          <t>3.3.4</t>
        </is>
      </c>
      <c r="B48" s="22" t="inlineStr">
        <is>
          <t>总体架构终稿+模块接口定义（按功能模块划分A/B边界）</t>
        </is>
      </c>
      <c r="C48" s="15" t="n">
        <v>3</v>
      </c>
      <c r="D48" s="17" t="inlineStr">
        <is>
          <t>架构设计文档V1.0、接口定义、ADR记录</t>
        </is>
      </c>
      <c r="E48" s="15" t="inlineStr">
        <is>
          <t>Wade</t>
        </is>
      </c>
      <c r="F48" s="45" t="n">
        <v>46303</v>
      </c>
      <c r="G48" s="45" t="n">
        <v>46303</v>
      </c>
      <c r="H48" s="15" t="n">
        <v>1</v>
      </c>
      <c r="I48" s="46" t="n">
        <v>1</v>
      </c>
      <c r="J48" s="17" t="inlineStr">
        <is>
          <t>AI辅助</t>
        </is>
      </c>
      <c r="K48" s="17" t="inlineStr">
        <is>
          <t>2.2.2;3.3.2</t>
        </is>
      </c>
      <c r="L48" s="15" t="inlineStr">
        <is>
          <t>未开始</t>
        </is>
      </c>
      <c r="M48" s="20" t="n">
        <v>0</v>
      </c>
      <c r="N48" s="15" t="inlineStr">
        <is>
          <t>高</t>
        </is>
      </c>
      <c r="O48" s="21" t="n"/>
      <c r="P48" s="21" t="n"/>
      <c r="Q48" s="17" t="inlineStr">
        <is>
          <t>架构图已预确认，收尾定稿+ADR留痕，AI辅助成文</t>
        </is>
      </c>
    </row>
    <row r="49">
      <c r="A49" s="15" t="inlineStr">
        <is>
          <t>3.3.5</t>
        </is>
      </c>
      <c r="B49" s="22" t="inlineStr">
        <is>
          <t>外部架构评审#1（P0末，2h）+意见落实</t>
        </is>
      </c>
      <c r="C49" s="15" t="n">
        <v>3</v>
      </c>
      <c r="D49" s="17" t="inlineStr">
        <is>
          <t>评审记录、行动项清单</t>
        </is>
      </c>
      <c r="E49" s="15" t="inlineStr">
        <is>
          <t>Wade</t>
        </is>
      </c>
      <c r="F49" s="45" t="n">
        <v>46304</v>
      </c>
      <c r="G49" s="45" t="n">
        <v>46304</v>
      </c>
      <c r="H49" s="15" t="n">
        <v>1</v>
      </c>
      <c r="I49" s="46" t="n">
        <v>0.5</v>
      </c>
      <c r="J49" s="17" t="inlineStr">
        <is>
          <t>人工主导</t>
        </is>
      </c>
      <c r="K49" s="17" t="inlineStr">
        <is>
          <t>3.3.4</t>
        </is>
      </c>
      <c r="L49" s="15" t="inlineStr">
        <is>
          <t>未开始</t>
        </is>
      </c>
      <c r="M49" s="20" t="n">
        <v>0</v>
      </c>
      <c r="N49" s="15" t="inlineStr">
        <is>
          <t>高</t>
        </is>
      </c>
      <c r="O49" s="21" t="n"/>
      <c r="P49" s="21" t="n"/>
      <c r="Q49" s="17" t="inlineStr">
        <is>
          <t>风险缓解A：引入外部对手方挑战架构；10/9上午</t>
        </is>
      </c>
    </row>
    <row r="50">
      <c r="A50" s="23" t="inlineStr">
        <is>
          <t>3.3.6</t>
        </is>
      </c>
      <c r="B50" s="24" t="inlineStr">
        <is>
          <t>设计评审通过+模块接口冻结◆M2</t>
        </is>
      </c>
      <c r="C50" s="23" t="n">
        <v>3</v>
      </c>
      <c r="D50" s="25" t="inlineStr">
        <is>
          <t>评审纪要、接口冻结基线</t>
        </is>
      </c>
      <c r="E50" s="23" t="inlineStr">
        <is>
          <t>Wade</t>
        </is>
      </c>
      <c r="F50" s="47" t="n">
        <v>46304</v>
      </c>
      <c r="G50" s="47" t="n">
        <v>46304</v>
      </c>
      <c r="H50" s="23" t="n">
        <v>1</v>
      </c>
      <c r="I50" s="48" t="n">
        <v>0.5</v>
      </c>
      <c r="J50" s="25" t="inlineStr">
        <is>
          <t>人工主导</t>
        </is>
      </c>
      <c r="K50" s="25" t="inlineStr">
        <is>
          <t>3.3.5;3.2.8</t>
        </is>
      </c>
      <c r="L50" s="23" t="inlineStr">
        <is>
          <t>未开始</t>
        </is>
      </c>
      <c r="M50" s="28" t="n">
        <v>0</v>
      </c>
      <c r="N50" s="23" t="inlineStr">
        <is>
          <t>高</t>
        </is>
      </c>
      <c r="O50" s="29" t="n"/>
      <c r="P50" s="29" t="n"/>
      <c r="Q50" s="25" t="inlineStr">
        <is>
          <t>★M2 10/9（下午评审会）；此后接口变更走变更流程</t>
        </is>
      </c>
    </row>
    <row r="51">
      <c r="A51" s="8" t="inlineStr">
        <is>
          <t>4</t>
        </is>
      </c>
      <c r="B51" s="9" t="inlineStr">
        <is>
          <t>开发一：AI工程地基与端到端MVP（样本数据）</t>
        </is>
      </c>
      <c r="C51" s="8" t="n">
        <v>1</v>
      </c>
      <c r="D51" s="10" t="inlineStr">
        <is>
          <t>模块8+模块1全链路（样本）可演示</t>
        </is>
      </c>
      <c r="E51" s="8" t="inlineStr">
        <is>
          <t>Wade/DevB/Mandy</t>
        </is>
      </c>
      <c r="F51" s="43" t="n">
        <v>46307</v>
      </c>
      <c r="G51" s="43" t="n">
        <v>46318</v>
      </c>
      <c r="H51" s="8" t="n">
        <v>10</v>
      </c>
      <c r="I51" s="44">
        <f>ROUND(SUMPRODUCT(($C$52:$C$74=3)*(LEFT($A$52:$A$74,LEN(A51))=A51)*$I$52:$I$74),2)</f>
        <v/>
      </c>
      <c r="J51" s="10" t="inlineStr"/>
      <c r="K51" s="10" t="inlineStr"/>
      <c r="L51" s="8" t="inlineStr">
        <is>
          <t>未开始</t>
        </is>
      </c>
      <c r="M51" s="13" t="n">
        <v>0</v>
      </c>
      <c r="N51" s="8" t="inlineStr">
        <is>
          <t>高</t>
        </is>
      </c>
      <c r="O51" s="14" t="n"/>
      <c r="P51" s="14" t="n"/>
      <c r="Q51" s="10" t="inlineStr">
        <is>
          <t>10/12~10/23；M3=10/23 MVP端到端自查</t>
        </is>
      </c>
    </row>
    <row r="52">
      <c r="A52" s="15" t="inlineStr">
        <is>
          <t>4.1</t>
        </is>
      </c>
      <c r="B52" s="16" t="inlineStr">
        <is>
          <t>模块8：用户/角色/SSO（Wade）</t>
        </is>
      </c>
      <c r="C52" s="15" t="n">
        <v>2</v>
      </c>
      <c r="D52" s="17" t="inlineStr">
        <is>
          <t>模块8五项功能（F08）</t>
        </is>
      </c>
      <c r="E52" s="15" t="inlineStr">
        <is>
          <t>Wade</t>
        </is>
      </c>
      <c r="F52" s="45" t="n">
        <v>46307</v>
      </c>
      <c r="G52" s="45" t="n">
        <v>46314</v>
      </c>
      <c r="H52" s="15" t="n">
        <v>6</v>
      </c>
      <c r="I52" s="46">
        <f>ROUND(SUMPRODUCT(($C$53:$C$55=3)*(LEFT($A$53:$A$55,LEN(A52))=A52)*$I$53:$I$55),2)</f>
        <v/>
      </c>
      <c r="J52" s="17" t="inlineStr"/>
      <c r="K52" s="17" t="inlineStr"/>
      <c r="L52" s="15" t="inlineStr">
        <is>
          <t>未开始</t>
        </is>
      </c>
      <c r="M52" s="20" t="n">
        <v>0</v>
      </c>
      <c r="N52" s="15" t="inlineStr">
        <is>
          <t>高</t>
        </is>
      </c>
      <c r="O52" s="21" t="n"/>
      <c r="P52" s="21" t="n"/>
      <c r="Q52" s="17" t="inlineStr"/>
    </row>
    <row r="53">
      <c r="A53" s="15" t="inlineStr">
        <is>
          <t>4.1.1</t>
        </is>
      </c>
      <c r="B53" s="22" t="inlineStr">
        <is>
          <t>F08-01/02 用户与角色管理（基础角色权限配置+用户账号管理，界面+API一体）</t>
        </is>
      </c>
      <c r="C53" s="15" t="n">
        <v>3</v>
      </c>
      <c r="D53" s="17" t="inlineStr">
        <is>
          <t>用户角色管理功能</t>
        </is>
      </c>
      <c r="E53" s="15" t="inlineStr">
        <is>
          <t>Wade</t>
        </is>
      </c>
      <c r="F53" s="45" t="n">
        <v>46307</v>
      </c>
      <c r="G53" s="45" t="n">
        <v>46309</v>
      </c>
      <c r="H53" s="15" t="n">
        <v>3</v>
      </c>
      <c r="I53" s="46" t="n">
        <v>3</v>
      </c>
      <c r="J53" s="17" t="inlineStr">
        <is>
          <t>AI生成+人工审核</t>
        </is>
      </c>
      <c r="K53" s="17" t="inlineStr">
        <is>
          <t>3.3.6</t>
        </is>
      </c>
      <c r="L53" s="15" t="inlineStr">
        <is>
          <t>未开始</t>
        </is>
      </c>
      <c r="M53" s="20" t="n">
        <v>0</v>
      </c>
      <c r="N53" s="15" t="inlineStr">
        <is>
          <t>高</t>
        </is>
      </c>
      <c r="O53" s="21" t="n"/>
      <c r="P53" s="21" t="n"/>
      <c r="Q53" s="17" t="inlineStr">
        <is>
          <t>AI生成代码过四道门禁后合入</t>
        </is>
      </c>
    </row>
    <row r="54">
      <c r="A54" s="15" t="inlineStr">
        <is>
          <t>4.1.2</t>
        </is>
      </c>
      <c r="B54" s="22" t="inlineStr">
        <is>
          <t>F08-03/04 企业SSO集成+用户身份自动识别与关联（后端链路）</t>
        </is>
      </c>
      <c r="C54" s="15" t="n">
        <v>3</v>
      </c>
      <c r="D54" s="17" t="inlineStr">
        <is>
          <t>SSO登录链路</t>
        </is>
      </c>
      <c r="E54" s="15" t="inlineStr">
        <is>
          <t>Wade</t>
        </is>
      </c>
      <c r="F54" s="45" t="n">
        <v>46310</v>
      </c>
      <c r="G54" s="45" t="n">
        <v>46311</v>
      </c>
      <c r="H54" s="15" t="n">
        <v>2</v>
      </c>
      <c r="I54" s="46" t="n">
        <v>2</v>
      </c>
      <c r="J54" s="17" t="inlineStr">
        <is>
          <t>AI生成+人工审核</t>
        </is>
      </c>
      <c r="K54" s="17" t="inlineStr">
        <is>
          <t>4.1.1</t>
        </is>
      </c>
      <c r="L54" s="15" t="inlineStr">
        <is>
          <t>未开始</t>
        </is>
      </c>
      <c r="M54" s="20" t="n">
        <v>0</v>
      </c>
      <c r="N54" s="15" t="inlineStr">
        <is>
          <t>高</t>
        </is>
      </c>
      <c r="O54" s="21" t="n"/>
      <c r="P54" s="21" t="n"/>
      <c r="Q54" s="17" t="inlineStr">
        <is>
          <t>依赖Entra ID</t>
        </is>
      </c>
    </row>
    <row r="55">
      <c r="A55" s="15" t="inlineStr">
        <is>
          <t>4.1.3</t>
        </is>
      </c>
      <c r="B55" s="22" t="inlineStr">
        <is>
          <t>F08-05 登录状态与异常访问控制（超时/锁定/失效限制）</t>
        </is>
      </c>
      <c r="C55" s="15" t="n">
        <v>3</v>
      </c>
      <c r="D55" s="17" t="inlineStr">
        <is>
          <t>异常访问控制</t>
        </is>
      </c>
      <c r="E55" s="15" t="inlineStr">
        <is>
          <t>Wade</t>
        </is>
      </c>
      <c r="F55" s="45" t="n">
        <v>46314</v>
      </c>
      <c r="G55" s="45" t="n">
        <v>46314</v>
      </c>
      <c r="H55" s="15" t="n">
        <v>1</v>
      </c>
      <c r="I55" s="46" t="n">
        <v>1</v>
      </c>
      <c r="J55" s="17" t="inlineStr">
        <is>
          <t>AI生成+人工审核</t>
        </is>
      </c>
      <c r="K55" s="17" t="inlineStr">
        <is>
          <t>4.1.2</t>
        </is>
      </c>
      <c r="L55" s="15" t="inlineStr">
        <is>
          <t>未开始</t>
        </is>
      </c>
      <c r="M55" s="20" t="n">
        <v>0</v>
      </c>
      <c r="N55" s="15" t="inlineStr">
        <is>
          <t>高</t>
        </is>
      </c>
      <c r="O55" s="21" t="n"/>
      <c r="P55" s="21" t="n"/>
      <c r="Q55" s="17" t="inlineStr">
        <is>
          <t>模块8完成</t>
        </is>
      </c>
    </row>
    <row r="56">
      <c r="A56" s="15" t="inlineStr">
        <is>
          <t>4.2</t>
        </is>
      </c>
      <c r="B56" s="16" t="inlineStr">
        <is>
          <t>模块1：存量迁移+四层落地·样本（DevB）</t>
        </is>
      </c>
      <c r="C56" s="15" t="n">
        <v>2</v>
      </c>
      <c r="D56" s="17" t="inlineStr">
        <is>
          <t>模块1五项（F01）+F02 API+四层链路</t>
        </is>
      </c>
      <c r="E56" s="15" t="inlineStr">
        <is>
          <t>DevB</t>
        </is>
      </c>
      <c r="F56" s="45" t="n">
        <v>46307</v>
      </c>
      <c r="G56" s="45" t="n">
        <v>46318</v>
      </c>
      <c r="H56" s="15" t="n">
        <v>10</v>
      </c>
      <c r="I56" s="46">
        <f>ROUND(SUMPRODUCT(($C$57:$C$63=3)*(LEFT($A$57:$A$63,LEN(A56))=A56)*$I$57:$I$63),2)</f>
        <v/>
      </c>
      <c r="J56" s="17" t="inlineStr"/>
      <c r="K56" s="17" t="inlineStr"/>
      <c r="L56" s="15" t="inlineStr">
        <is>
          <t>未开始</t>
        </is>
      </c>
      <c r="M56" s="20" t="n">
        <v>0</v>
      </c>
      <c r="N56" s="15" t="inlineStr">
        <is>
          <t>高</t>
        </is>
      </c>
      <c r="O56" s="21" t="n"/>
      <c r="P56" s="21" t="n"/>
      <c r="Q56" s="17" t="inlineStr"/>
    </row>
    <row r="57">
      <c r="A57" s="15" t="inlineStr">
        <is>
          <t>4.2.1</t>
        </is>
      </c>
      <c r="B57" s="22" t="inlineStr">
        <is>
          <t>F01-01 结构化历史数据批量导入（SeaTunnel分片/限速/断点，样本表验证）</t>
        </is>
      </c>
      <c r="C57" s="15" t="n">
        <v>3</v>
      </c>
      <c r="D57" s="17" t="inlineStr">
        <is>
          <t>ETL生成器+导入作业</t>
        </is>
      </c>
      <c r="E57" s="15" t="inlineStr">
        <is>
          <t>DevB</t>
        </is>
      </c>
      <c r="F57" s="45" t="n">
        <v>46307</v>
      </c>
      <c r="G57" s="45" t="n">
        <v>46308</v>
      </c>
      <c r="H57" s="15" t="n">
        <v>2</v>
      </c>
      <c r="I57" s="46" t="n">
        <v>2</v>
      </c>
      <c r="J57" s="17" t="inlineStr">
        <is>
          <t>AI生成+人工审核</t>
        </is>
      </c>
      <c r="K57" s="17" t="inlineStr">
        <is>
          <t>3.2.7;3.3.6</t>
        </is>
      </c>
      <c r="L57" s="15" t="inlineStr">
        <is>
          <t>未开始</t>
        </is>
      </c>
      <c r="M57" s="20" t="n">
        <v>0</v>
      </c>
      <c r="N57" s="15" t="inlineStr">
        <is>
          <t>高</t>
        </is>
      </c>
      <c r="O57" s="21" t="n"/>
      <c r="P57" s="21" t="n"/>
      <c r="Q57" s="17" t="inlineStr"/>
    </row>
    <row r="58">
      <c r="A58" s="15" t="inlineStr">
        <is>
          <t>4.2.2</t>
        </is>
      </c>
      <c r="B58" s="22" t="inlineStr">
        <is>
          <t>F01-02 非结构化文件及离线包批量导入（多源/大文件/属性保留/包解析）</t>
        </is>
      </c>
      <c r="C58" s="15" t="n">
        <v>3</v>
      </c>
      <c r="D58" s="17" t="inlineStr">
        <is>
          <t>文件导入服务</t>
        </is>
      </c>
      <c r="E58" s="15" t="inlineStr">
        <is>
          <t>DevB</t>
        </is>
      </c>
      <c r="F58" s="45" t="n">
        <v>46309</v>
      </c>
      <c r="G58" s="45" t="n">
        <v>46309</v>
      </c>
      <c r="H58" s="15" t="n">
        <v>1</v>
      </c>
      <c r="I58" s="46" t="n">
        <v>1</v>
      </c>
      <c r="J58" s="17" t="inlineStr">
        <is>
          <t>AI生成+人工审核</t>
        </is>
      </c>
      <c r="K58" s="17" t="inlineStr">
        <is>
          <t>4.2.1</t>
        </is>
      </c>
      <c r="L58" s="15" t="inlineStr">
        <is>
          <t>未开始</t>
        </is>
      </c>
      <c r="M58" s="20" t="n">
        <v>0</v>
      </c>
      <c r="N58" s="15" t="inlineStr">
        <is>
          <t>高</t>
        </is>
      </c>
      <c r="O58" s="21" t="n"/>
      <c r="P58" s="21" t="n"/>
      <c r="Q58" s="17" t="inlineStr"/>
    </row>
    <row r="59">
      <c r="A59" s="15" t="inlineStr">
        <is>
          <t>4.2.3</t>
        </is>
      </c>
      <c r="B59" s="22" t="inlineStr">
        <is>
          <t>F01-03 数据导入规则配置（源→标准字段映射/格式转换/校验）</t>
        </is>
      </c>
      <c r="C59" s="15" t="n">
        <v>3</v>
      </c>
      <c r="D59" s="17" t="inlineStr">
        <is>
          <t>迁移规则配置功能</t>
        </is>
      </c>
      <c r="E59" s="15" t="inlineStr">
        <is>
          <t>DevB</t>
        </is>
      </c>
      <c r="F59" s="45" t="n">
        <v>46310</v>
      </c>
      <c r="G59" s="45" t="n">
        <v>46310</v>
      </c>
      <c r="H59" s="15" t="n">
        <v>1</v>
      </c>
      <c r="I59" s="46" t="n">
        <v>1</v>
      </c>
      <c r="J59" s="17" t="inlineStr">
        <is>
          <t>AI生成+人工审核</t>
        </is>
      </c>
      <c r="K59" s="17" t="inlineStr">
        <is>
          <t>4.2.1</t>
        </is>
      </c>
      <c r="L59" s="15" t="inlineStr">
        <is>
          <t>未开始</t>
        </is>
      </c>
      <c r="M59" s="20" t="n">
        <v>0</v>
      </c>
      <c r="N59" s="15" t="inlineStr">
        <is>
          <t>高</t>
        </is>
      </c>
      <c r="O59" s="21" t="n"/>
      <c r="P59" s="21" t="n"/>
      <c r="Q59" s="17" t="inlineStr"/>
    </row>
    <row r="60">
      <c r="A60" s="15" t="inlineStr">
        <is>
          <t>4.2.4</t>
        </is>
      </c>
      <c r="B60" s="22" t="inlineStr">
        <is>
          <t>RAW层落地+附件Blob入湖（分区写入/类型映射/保真校验）</t>
        </is>
      </c>
      <c r="C60" s="15" t="n">
        <v>3</v>
      </c>
      <c r="D60" s="17" t="inlineStr">
        <is>
          <t>RAW层样本数据</t>
        </is>
      </c>
      <c r="E60" s="15" t="inlineStr">
        <is>
          <t>DevB</t>
        </is>
      </c>
      <c r="F60" s="45" t="n">
        <v>46311</v>
      </c>
      <c r="G60" s="45" t="n">
        <v>46311</v>
      </c>
      <c r="H60" s="15" t="n">
        <v>1</v>
      </c>
      <c r="I60" s="46" t="n">
        <v>1</v>
      </c>
      <c r="J60" s="17" t="inlineStr">
        <is>
          <t>自动化流水线</t>
        </is>
      </c>
      <c r="K60" s="17" t="inlineStr">
        <is>
          <t>4.2.3</t>
        </is>
      </c>
      <c r="L60" s="15" t="inlineStr">
        <is>
          <t>未开始</t>
        </is>
      </c>
      <c r="M60" s="20" t="n">
        <v>0</v>
      </c>
      <c r="N60" s="15" t="inlineStr">
        <is>
          <t>高</t>
        </is>
      </c>
      <c r="O60" s="21" t="n"/>
      <c r="P60" s="21" t="n"/>
      <c r="Q60" s="17" t="inlineStr"/>
    </row>
    <row r="61">
      <c r="A61" s="15" t="inlineStr">
        <is>
          <t>4.2.5</t>
        </is>
      </c>
      <c r="B61" s="22" t="inlineStr">
        <is>
          <t>F01-04/05 迁移前完整性基准记录+迁移后完整性比对（行数/校验和/SHA-256）</t>
        </is>
      </c>
      <c r="C61" s="15" t="n">
        <v>3</v>
      </c>
      <c r="D61" s="17" t="inlineStr">
        <is>
          <t>对账脚本、校验报告</t>
        </is>
      </c>
      <c r="E61" s="15" t="inlineStr">
        <is>
          <t>DevB</t>
        </is>
      </c>
      <c r="F61" s="45" t="n">
        <v>46314</v>
      </c>
      <c r="G61" s="45" t="n">
        <v>46315</v>
      </c>
      <c r="H61" s="15" t="n">
        <v>2</v>
      </c>
      <c r="I61" s="46" t="n">
        <v>2</v>
      </c>
      <c r="J61" s="17" t="inlineStr">
        <is>
          <t>AI辅助</t>
        </is>
      </c>
      <c r="K61" s="17" t="inlineStr">
        <is>
          <t>4.2.4</t>
        </is>
      </c>
      <c r="L61" s="15" t="inlineStr">
        <is>
          <t>未开始</t>
        </is>
      </c>
      <c r="M61" s="20" t="n">
        <v>0</v>
      </c>
      <c r="N61" s="15" t="inlineStr">
        <is>
          <t>高</t>
        </is>
      </c>
      <c r="O61" s="21" t="n"/>
      <c r="P61" s="21" t="n"/>
      <c r="Q61" s="17" t="inlineStr"/>
    </row>
    <row r="62">
      <c r="A62" s="15" t="inlineStr">
        <is>
          <t>4.2.6</t>
        </is>
      </c>
      <c r="B62" s="22" t="inlineStr">
        <is>
          <t>F02-01/02 统一元数据模型+来源系统信息绑定（API）</t>
        </is>
      </c>
      <c r="C62" s="15" t="n">
        <v>3</v>
      </c>
      <c r="D62" s="17" t="inlineStr">
        <is>
          <t>元数据服务API</t>
        </is>
      </c>
      <c r="E62" s="15" t="inlineStr">
        <is>
          <t>DevB</t>
        </is>
      </c>
      <c r="F62" s="45" t="n">
        <v>46316</v>
      </c>
      <c r="G62" s="45" t="n">
        <v>46317</v>
      </c>
      <c r="H62" s="15" t="n">
        <v>2</v>
      </c>
      <c r="I62" s="46" t="n">
        <v>2</v>
      </c>
      <c r="J62" s="17" t="inlineStr">
        <is>
          <t>AI生成+人工审核</t>
        </is>
      </c>
      <c r="K62" s="17" t="inlineStr">
        <is>
          <t>3.2.6</t>
        </is>
      </c>
      <c r="L62" s="15" t="inlineStr">
        <is>
          <t>未开始</t>
        </is>
      </c>
      <c r="M62" s="20" t="n">
        <v>0</v>
      </c>
      <c r="N62" s="15" t="inlineStr">
        <is>
          <t>高</t>
        </is>
      </c>
      <c r="O62" s="21" t="n"/>
      <c r="P62" s="21" t="n"/>
      <c r="Q62" s="17" t="inlineStr"/>
    </row>
    <row r="63">
      <c r="A63" s="15" t="inlineStr">
        <is>
          <t>4.2.7</t>
        </is>
      </c>
      <c r="B63" s="22" t="inlineStr">
        <is>
          <t>CURATED+LAKE层落地+SERVE物化首版（样本四层跑通+Z-Order）</t>
        </is>
      </c>
      <c r="C63" s="15" t="n">
        <v>3</v>
      </c>
      <c r="D63" s="17" t="inlineStr">
        <is>
          <t>四层数据链路（样本）</t>
        </is>
      </c>
      <c r="E63" s="15" t="inlineStr">
        <is>
          <t>DevB</t>
        </is>
      </c>
      <c r="F63" s="45" t="n">
        <v>46318</v>
      </c>
      <c r="G63" s="45" t="n">
        <v>46318</v>
      </c>
      <c r="H63" s="15" t="n">
        <v>1</v>
      </c>
      <c r="I63" s="46" t="n">
        <v>1</v>
      </c>
      <c r="J63" s="17" t="inlineStr">
        <is>
          <t>自动化流水线</t>
        </is>
      </c>
      <c r="K63" s="17" t="inlineStr">
        <is>
          <t>4.2.5</t>
        </is>
      </c>
      <c r="L63" s="15" t="inlineStr">
        <is>
          <t>未开始</t>
        </is>
      </c>
      <c r="M63" s="20" t="n">
        <v>0</v>
      </c>
      <c r="N63" s="15" t="inlineStr">
        <is>
          <t>高</t>
        </is>
      </c>
      <c r="O63" s="21" t="n"/>
      <c r="P63" s="21" t="n"/>
      <c r="Q63" s="17" t="inlineStr"/>
    </row>
    <row r="64">
      <c r="A64" s="15" t="inlineStr">
        <is>
          <t>4.3</t>
        </is>
      </c>
      <c r="B64" s="16" t="inlineStr">
        <is>
          <t>迁移任务界面与检索MVP（Wade）</t>
        </is>
      </c>
      <c r="C64" s="15" t="n">
        <v>2</v>
      </c>
      <c r="D64" s="17" t="inlineStr">
        <is>
          <t>迁移任务管理界面、检索页、M3联调</t>
        </is>
      </c>
      <c r="E64" s="15" t="inlineStr">
        <is>
          <t>Wade</t>
        </is>
      </c>
      <c r="F64" s="45" t="n">
        <v>46315</v>
      </c>
      <c r="G64" s="45" t="n">
        <v>46318</v>
      </c>
      <c r="H64" s="15" t="n">
        <v>4</v>
      </c>
      <c r="I64" s="46">
        <f>ROUND(SUMPRODUCT(($C$65:$C$67=3)*(LEFT($A$65:$A$67,LEN(A64))=A64)*$I$65:$I$67),2)</f>
        <v/>
      </c>
      <c r="J64" s="17" t="inlineStr"/>
      <c r="K64" s="17" t="inlineStr"/>
      <c r="L64" s="15" t="inlineStr">
        <is>
          <t>未开始</t>
        </is>
      </c>
      <c r="M64" s="20" t="n">
        <v>0</v>
      </c>
      <c r="N64" s="15" t="inlineStr">
        <is>
          <t>高</t>
        </is>
      </c>
      <c r="O64" s="21" t="n"/>
      <c r="P64" s="21" t="n"/>
      <c r="Q64" s="17" t="inlineStr"/>
    </row>
    <row r="65">
      <c r="A65" s="15" t="inlineStr">
        <is>
          <t>4.3.1</t>
        </is>
      </c>
      <c r="B65" s="22" t="inlineStr">
        <is>
          <t>F01协作：迁移任务管理界面（调度/进度/校验结果展示）</t>
        </is>
      </c>
      <c r="C65" s="15" t="n">
        <v>3</v>
      </c>
      <c r="D65" s="17" t="inlineStr">
        <is>
          <t>迁移任务管理界面</t>
        </is>
      </c>
      <c r="E65" s="15" t="inlineStr">
        <is>
          <t>Wade</t>
        </is>
      </c>
      <c r="F65" s="45" t="n">
        <v>46315</v>
      </c>
      <c r="G65" s="45" t="n">
        <v>46316</v>
      </c>
      <c r="H65" s="15" t="n">
        <v>2</v>
      </c>
      <c r="I65" s="46" t="n">
        <v>2</v>
      </c>
      <c r="J65" s="17" t="inlineStr">
        <is>
          <t>AI生成+人工审核</t>
        </is>
      </c>
      <c r="K65" s="17" t="inlineStr">
        <is>
          <t>4.1.1</t>
        </is>
      </c>
      <c r="L65" s="15" t="inlineStr">
        <is>
          <t>未开始</t>
        </is>
      </c>
      <c r="M65" s="20" t="n">
        <v>0</v>
      </c>
      <c r="N65" s="15" t="inlineStr">
        <is>
          <t>中</t>
        </is>
      </c>
      <c r="O65" s="21" t="n"/>
      <c r="P65" s="21" t="n"/>
      <c r="Q65" s="17" t="inlineStr"/>
    </row>
    <row r="66">
      <c r="A66" s="15" t="inlineStr">
        <is>
          <t>4.3.2</t>
        </is>
      </c>
      <c r="B66" s="22" t="inlineStr">
        <is>
          <t>F05-01/02/03 检索页开发：关键词检索+按系统名称检索+按业务时间检索（动态表单）</t>
        </is>
      </c>
      <c r="C66" s="15" t="n">
        <v>3</v>
      </c>
      <c r="D66" s="17" t="inlineStr">
        <is>
          <t>检索页</t>
        </is>
      </c>
      <c r="E66" s="15" t="inlineStr">
        <is>
          <t>Wade</t>
        </is>
      </c>
      <c r="F66" s="45" t="n">
        <v>46317</v>
      </c>
      <c r="G66" s="45" t="n">
        <v>46317</v>
      </c>
      <c r="H66" s="15" t="n">
        <v>1</v>
      </c>
      <c r="I66" s="46" t="n">
        <v>1</v>
      </c>
      <c r="J66" s="17" t="inlineStr">
        <is>
          <t>AI生成+人工审核</t>
        </is>
      </c>
      <c r="K66" s="17" t="inlineStr">
        <is>
          <t>4.3.1</t>
        </is>
      </c>
      <c r="L66" s="15" t="inlineStr">
        <is>
          <t>未开始</t>
        </is>
      </c>
      <c r="M66" s="20" t="n">
        <v>0</v>
      </c>
      <c r="N66" s="15" t="inlineStr">
        <is>
          <t>高</t>
        </is>
      </c>
      <c r="O66" s="21" t="n"/>
      <c r="P66" s="21" t="n"/>
      <c r="Q66" s="17" t="inlineStr"/>
    </row>
    <row r="67">
      <c r="A67" s="23" t="inlineStr">
        <is>
          <t>4.3.3</t>
        </is>
      </c>
      <c r="B67" s="24" t="inlineStr">
        <is>
          <t>端到端联调◆M3：登录→检索→样本数据可查</t>
        </is>
      </c>
      <c r="C67" s="23" t="n">
        <v>3</v>
      </c>
      <c r="D67" s="25" t="inlineStr">
        <is>
          <t>M3演示记录（导入→湖→检索）</t>
        </is>
      </c>
      <c r="E67" s="23" t="inlineStr">
        <is>
          <t>Wade</t>
        </is>
      </c>
      <c r="F67" s="47" t="n">
        <v>46318</v>
      </c>
      <c r="G67" s="47" t="n">
        <v>46318</v>
      </c>
      <c r="H67" s="23" t="n">
        <v>1</v>
      </c>
      <c r="I67" s="48" t="n">
        <v>1</v>
      </c>
      <c r="J67" s="25" t="inlineStr">
        <is>
          <t>人工主导</t>
        </is>
      </c>
      <c r="K67" s="25" t="inlineStr">
        <is>
          <t>4.1.3;4.3.2;4.2.7</t>
        </is>
      </c>
      <c r="L67" s="23" t="inlineStr">
        <is>
          <t>未开始</t>
        </is>
      </c>
      <c r="M67" s="28" t="n">
        <v>0</v>
      </c>
      <c r="N67" s="23" t="inlineStr">
        <is>
          <t>高</t>
        </is>
      </c>
      <c r="O67" s="29" t="n"/>
      <c r="P67" s="29" t="n"/>
      <c r="Q67" s="25" t="inlineStr">
        <is>
          <t>★M3 10/23 MVP里程碑；含端到端自查（风险A缓解）</t>
        </is>
      </c>
    </row>
    <row r="68">
      <c r="A68" s="15" t="inlineStr">
        <is>
          <t>4.4</t>
        </is>
      </c>
      <c r="B68" s="16" t="inlineStr">
        <is>
          <t>测试与文档启动（Mandy）</t>
        </is>
      </c>
      <c r="C68" s="15" t="n">
        <v>2</v>
      </c>
      <c r="D68" s="17" t="inlineStr">
        <is>
          <t>用例库v1.0、样本数据、走查签字、手册启动</t>
        </is>
      </c>
      <c r="E68" s="15" t="inlineStr">
        <is>
          <t>Mandy</t>
        </is>
      </c>
      <c r="F68" s="45" t="n">
        <v>46307</v>
      </c>
      <c r="G68" s="45" t="n">
        <v>46318</v>
      </c>
      <c r="H68" s="15" t="n">
        <v>10</v>
      </c>
      <c r="I68" s="46">
        <f>ROUND(SUMPRODUCT(($C$69:$C$74=3)*(LEFT($A$69:$A$74,LEN(A68))=A68)*$I$69:$I$74),2)</f>
        <v/>
      </c>
      <c r="J68" s="17" t="inlineStr"/>
      <c r="K68" s="17" t="inlineStr"/>
      <c r="L68" s="15" t="inlineStr">
        <is>
          <t>未开始</t>
        </is>
      </c>
      <c r="M68" s="20" t="n">
        <v>0</v>
      </c>
      <c r="N68" s="15" t="inlineStr">
        <is>
          <t>高</t>
        </is>
      </c>
      <c r="O68" s="21" t="n"/>
      <c r="P68" s="21" t="n"/>
      <c r="Q68" s="17" t="inlineStr"/>
    </row>
    <row r="69">
      <c r="A69" s="15" t="inlineStr">
        <is>
          <t>4.4.1</t>
        </is>
      </c>
      <c r="B69" s="22" t="inlineStr">
        <is>
          <t>AI生成测试用例（F05检索/F06审计系列）</t>
        </is>
      </c>
      <c r="C69" s="15" t="n">
        <v>3</v>
      </c>
      <c r="D69" s="17" t="inlineStr">
        <is>
          <t>用例增量</t>
        </is>
      </c>
      <c r="E69" s="15" t="inlineStr">
        <is>
          <t>Mandy</t>
        </is>
      </c>
      <c r="F69" s="45" t="n">
        <v>46307</v>
      </c>
      <c r="G69" s="45" t="n">
        <v>46308</v>
      </c>
      <c r="H69" s="15" t="n">
        <v>2</v>
      </c>
      <c r="I69" s="46" t="n">
        <v>1.5</v>
      </c>
      <c r="J69" s="17" t="inlineStr">
        <is>
          <t>AI生成+人工审核</t>
        </is>
      </c>
      <c r="K69" s="17" t="inlineStr">
        <is>
          <t>2.3.2</t>
        </is>
      </c>
      <c r="L69" s="15" t="inlineStr">
        <is>
          <t>未开始</t>
        </is>
      </c>
      <c r="M69" s="20" t="n">
        <v>0</v>
      </c>
      <c r="N69" s="15" t="inlineStr">
        <is>
          <t>高</t>
        </is>
      </c>
      <c r="O69" s="21" t="n"/>
      <c r="P69" s="21" t="n"/>
      <c r="Q69" s="17" t="inlineStr"/>
    </row>
    <row r="70">
      <c r="A70" s="15" t="inlineStr">
        <is>
          <t>4.4.2</t>
        </is>
      </c>
      <c r="B70" s="22" t="inlineStr">
        <is>
          <t>样本测试数据集准备（模拟源库表+附件样本）</t>
        </is>
      </c>
      <c r="C70" s="15" t="n">
        <v>3</v>
      </c>
      <c r="D70" s="17" t="inlineStr">
        <is>
          <t>样本数据集</t>
        </is>
      </c>
      <c r="E70" s="15" t="inlineStr">
        <is>
          <t>Mandy</t>
        </is>
      </c>
      <c r="F70" s="45" t="n">
        <v>46309</v>
      </c>
      <c r="G70" s="45" t="n">
        <v>46310</v>
      </c>
      <c r="H70" s="15" t="n">
        <v>2</v>
      </c>
      <c r="I70" s="46" t="n">
        <v>1</v>
      </c>
      <c r="J70" s="17" t="inlineStr">
        <is>
          <t>AI辅助</t>
        </is>
      </c>
      <c r="K70" s="17" t="inlineStr">
        <is>
          <t>2.3.1</t>
        </is>
      </c>
      <c r="L70" s="15" t="inlineStr">
        <is>
          <t>未开始</t>
        </is>
      </c>
      <c r="M70" s="20" t="n">
        <v>0</v>
      </c>
      <c r="N70" s="15" t="inlineStr">
        <is>
          <t>高</t>
        </is>
      </c>
      <c r="O70" s="21" t="n"/>
      <c r="P70" s="21" t="n"/>
      <c r="Q70" s="17" t="inlineStr">
        <is>
          <t>AI生成模拟数据，支撑无CC开发至11月</t>
        </is>
      </c>
    </row>
    <row r="71">
      <c r="A71" s="15" t="inlineStr">
        <is>
          <t>4.4.3</t>
        </is>
      </c>
      <c r="B71" s="22" t="inlineStr">
        <is>
          <t>测试用例编写完成（26项全覆盖）+用例评审</t>
        </is>
      </c>
      <c r="C71" s="15" t="n">
        <v>3</v>
      </c>
      <c r="D71" s="17" t="inlineStr">
        <is>
          <t>用例库v1.0（100%）</t>
        </is>
      </c>
      <c r="E71" s="15" t="inlineStr">
        <is>
          <t>Mandy</t>
        </is>
      </c>
      <c r="F71" s="45" t="n">
        <v>46311</v>
      </c>
      <c r="G71" s="45" t="n">
        <v>46314</v>
      </c>
      <c r="H71" s="15" t="n">
        <v>2</v>
      </c>
      <c r="I71" s="46" t="n">
        <v>1</v>
      </c>
      <c r="J71" s="17" t="inlineStr">
        <is>
          <t>AI生成+人工审核</t>
        </is>
      </c>
      <c r="K71" s="17" t="inlineStr">
        <is>
          <t>4.4.1</t>
        </is>
      </c>
      <c r="L71" s="15" t="inlineStr">
        <is>
          <t>未开始</t>
        </is>
      </c>
      <c r="M71" s="20" t="n">
        <v>0</v>
      </c>
      <c r="N71" s="15" t="inlineStr">
        <is>
          <t>高</t>
        </is>
      </c>
      <c r="O71" s="21" t="n"/>
      <c r="P71" s="21" t="n"/>
      <c r="Q71" s="17" t="inlineStr"/>
    </row>
    <row r="72">
      <c r="A72" s="15" t="inlineStr">
        <is>
          <t>4.4.4</t>
        </is>
      </c>
      <c r="B72" s="22" t="inlineStr">
        <is>
          <t>模块1/8功能走查（样本数据演示，F01/F08对照）</t>
        </is>
      </c>
      <c r="C72" s="15" t="n">
        <v>3</v>
      </c>
      <c r="D72" s="17" t="inlineStr">
        <is>
          <t>走查签字单</t>
        </is>
      </c>
      <c r="E72" s="15" t="inlineStr">
        <is>
          <t>Mandy</t>
        </is>
      </c>
      <c r="F72" s="45" t="n">
        <v>46317</v>
      </c>
      <c r="G72" s="45" t="n">
        <v>46317</v>
      </c>
      <c r="H72" s="15" t="n">
        <v>1</v>
      </c>
      <c r="I72" s="46" t="n">
        <v>1</v>
      </c>
      <c r="J72" s="17" t="inlineStr">
        <is>
          <t>人工主导</t>
        </is>
      </c>
      <c r="K72" s="17" t="inlineStr">
        <is>
          <t>4.1.3;4.2.5</t>
        </is>
      </c>
      <c r="L72" s="15" t="inlineStr">
        <is>
          <t>未开始</t>
        </is>
      </c>
      <c r="M72" s="20" t="n">
        <v>0</v>
      </c>
      <c r="N72" s="15" t="inlineStr">
        <is>
          <t>高</t>
        </is>
      </c>
      <c r="O72" s="21" t="n"/>
      <c r="P72" s="21" t="n"/>
      <c r="Q72" s="17" t="inlineStr"/>
    </row>
    <row r="73">
      <c r="A73" s="15" t="inlineStr">
        <is>
          <t>4.4.5</t>
        </is>
      </c>
      <c r="B73" s="22" t="inlineStr">
        <is>
          <t>AI反生成用户手册初稿启动（F01/F08章）</t>
        </is>
      </c>
      <c r="C73" s="15" t="n">
        <v>3</v>
      </c>
      <c r="D73" s="17" t="inlineStr">
        <is>
          <t>手册章节草稿</t>
        </is>
      </c>
      <c r="E73" s="15" t="inlineStr">
        <is>
          <t>Mandy</t>
        </is>
      </c>
      <c r="F73" s="45" t="n">
        <v>46315</v>
      </c>
      <c r="G73" s="45" t="n">
        <v>46316</v>
      </c>
      <c r="H73" s="15" t="n">
        <v>2</v>
      </c>
      <c r="I73" s="46" t="n">
        <v>1.5</v>
      </c>
      <c r="J73" s="17" t="inlineStr">
        <is>
          <t>AI生成+人工审核</t>
        </is>
      </c>
      <c r="K73" s="17" t="inlineStr">
        <is>
          <t>4.1.3;4.2.5</t>
        </is>
      </c>
      <c r="L73" s="15" t="inlineStr">
        <is>
          <t>未开始</t>
        </is>
      </c>
      <c r="M73" s="20" t="n">
        <v>0</v>
      </c>
      <c r="N73" s="15" t="inlineStr">
        <is>
          <t>中</t>
        </is>
      </c>
      <c r="O73" s="21" t="n"/>
      <c r="P73" s="21" t="n"/>
      <c r="Q73" s="17" t="inlineStr">
        <is>
          <t>AI从代码与演示反生成，人工润色</t>
        </is>
      </c>
    </row>
    <row r="74">
      <c r="A74" s="15" t="inlineStr">
        <is>
          <t>4.4.6</t>
        </is>
      </c>
      <c r="B74" s="22" t="inlineStr">
        <is>
          <t>M3端到端演示支持与阶段评审</t>
        </is>
      </c>
      <c r="C74" s="15" t="n">
        <v>3</v>
      </c>
      <c r="D74" s="17" t="inlineStr">
        <is>
          <t>演示纪要</t>
        </is>
      </c>
      <c r="E74" s="15" t="inlineStr">
        <is>
          <t>Mandy</t>
        </is>
      </c>
      <c r="F74" s="45" t="n">
        <v>46318</v>
      </c>
      <c r="G74" s="45" t="n">
        <v>46318</v>
      </c>
      <c r="H74" s="15" t="n">
        <v>1</v>
      </c>
      <c r="I74" s="46" t="n">
        <v>0.5</v>
      </c>
      <c r="J74" s="17" t="inlineStr">
        <is>
          <t>人工主导</t>
        </is>
      </c>
      <c r="K74" s="17" t="inlineStr">
        <is>
          <t>4.3.3</t>
        </is>
      </c>
      <c r="L74" s="15" t="inlineStr">
        <is>
          <t>未开始</t>
        </is>
      </c>
      <c r="M74" s="20" t="n">
        <v>0</v>
      </c>
      <c r="N74" s="15" t="inlineStr">
        <is>
          <t>中</t>
        </is>
      </c>
      <c r="O74" s="21" t="n"/>
      <c r="P74" s="21" t="n"/>
      <c r="Q74" s="17" t="inlineStr"/>
    </row>
    <row r="75">
      <c r="A75" s="8" t="inlineStr">
        <is>
          <t>5</t>
        </is>
      </c>
      <c r="B75" s="9" t="inlineStr">
        <is>
          <t>开发二：核心功能Vibe Coding（模块2/3/4/5/6）</t>
        </is>
      </c>
      <c r="C75" s="8" t="n">
        <v>1</v>
      </c>
      <c r="D75" s="10" t="inlineStr">
        <is>
          <t>26项功能编码完成+走查全签字</t>
        </is>
      </c>
      <c r="E75" s="8" t="inlineStr">
        <is>
          <t>Wade/DevB/Mandy</t>
        </is>
      </c>
      <c r="F75" s="43" t="n">
        <v>46321</v>
      </c>
      <c r="G75" s="43" t="n">
        <v>46339</v>
      </c>
      <c r="H75" s="8" t="n">
        <v>15</v>
      </c>
      <c r="I75" s="44">
        <f>ROUND(SUMPRODUCT(($C$76:$C$114=3)*(LEFT($A$76:$A$114,LEN(A75))=A75)*$I$76:$I$114),2)</f>
        <v/>
      </c>
      <c r="J75" s="10" t="inlineStr"/>
      <c r="K75" s="10" t="inlineStr"/>
      <c r="L75" s="8" t="inlineStr">
        <is>
          <t>未开始</t>
        </is>
      </c>
      <c r="M75" s="13" t="n">
        <v>0</v>
      </c>
      <c r="N75" s="8" t="inlineStr">
        <is>
          <t>高</t>
        </is>
      </c>
      <c r="O75" s="14" t="n"/>
      <c r="P75" s="14" t="n"/>
      <c r="Q75" s="10" t="inlineStr">
        <is>
          <t>10/26~11/13；M4=11/13；每周五下午固定0.5天技术债</t>
        </is>
      </c>
    </row>
    <row r="76">
      <c r="A76" s="15" t="inlineStr">
        <is>
          <t>5.1</t>
        </is>
      </c>
      <c r="B76" s="16" t="inlineStr">
        <is>
          <t>模块5/6+前端（Wade）</t>
        </is>
      </c>
      <c r="C76" s="15" t="n">
        <v>2</v>
      </c>
      <c r="D76" s="17" t="inlineStr">
        <is>
          <t>F05五项+F06三项+F03处置界面</t>
        </is>
      </c>
      <c r="E76" s="15" t="inlineStr">
        <is>
          <t>Wade</t>
        </is>
      </c>
      <c r="F76" s="45" t="n">
        <v>46321</v>
      </c>
      <c r="G76" s="45" t="n">
        <v>46339</v>
      </c>
      <c r="H76" s="15" t="n">
        <v>15</v>
      </c>
      <c r="I76" s="46">
        <f>ROUND(SUMPRODUCT(($C$77:$C$85=3)*(LEFT($A$77:$A$85,LEN(A76))=A76)*$I$77:$I$85),2)</f>
        <v/>
      </c>
      <c r="J76" s="17" t="inlineStr"/>
      <c r="K76" s="17" t="inlineStr"/>
      <c r="L76" s="15" t="inlineStr">
        <is>
          <t>未开始</t>
        </is>
      </c>
      <c r="M76" s="20" t="n">
        <v>0</v>
      </c>
      <c r="N76" s="15" t="inlineStr">
        <is>
          <t>高</t>
        </is>
      </c>
      <c r="O76" s="21" t="n"/>
      <c r="P76" s="21" t="n"/>
      <c r="Q76" s="17" t="inlineStr"/>
    </row>
    <row r="77">
      <c r="A77" s="15" t="inlineStr">
        <is>
          <t>5.1.1</t>
        </is>
      </c>
      <c r="B77" s="22" t="inlineStr">
        <is>
          <t>F05-04 检索结果列表展示（分页/排序/关键字段/大批量）</t>
        </is>
      </c>
      <c r="C77" s="15" t="n">
        <v>3</v>
      </c>
      <c r="D77" s="17" t="inlineStr">
        <is>
          <t>检索结果列表页</t>
        </is>
      </c>
      <c r="E77" s="15" t="inlineStr">
        <is>
          <t>Wade</t>
        </is>
      </c>
      <c r="F77" s="45" t="n">
        <v>46321</v>
      </c>
      <c r="G77" s="45" t="n">
        <v>46322</v>
      </c>
      <c r="H77" s="15" t="n">
        <v>2</v>
      </c>
      <c r="I77" s="46" t="n">
        <v>2</v>
      </c>
      <c r="J77" s="17" t="inlineStr">
        <is>
          <t>AI生成+人工审核</t>
        </is>
      </c>
      <c r="K77" s="17" t="inlineStr">
        <is>
          <t>4.3.3</t>
        </is>
      </c>
      <c r="L77" s="15" t="inlineStr">
        <is>
          <t>未开始</t>
        </is>
      </c>
      <c r="M77" s="20" t="n">
        <v>0</v>
      </c>
      <c r="N77" s="15" t="inlineStr">
        <is>
          <t>高</t>
        </is>
      </c>
      <c r="O77" s="21" t="n"/>
      <c r="P77" s="21" t="n"/>
      <c r="Q77" s="17" t="inlineStr"/>
    </row>
    <row r="78">
      <c r="A78" s="15" t="inlineStr">
        <is>
          <t>5.1.2</t>
        </is>
      </c>
      <c r="B78" s="22" t="inlineStr">
        <is>
          <t>F05-05 原始文件在线预览（图片/附件SAS直连/常见文档）</t>
        </is>
      </c>
      <c r="C78" s="15" t="n">
        <v>3</v>
      </c>
      <c r="D78" s="17" t="inlineStr">
        <is>
          <t>在线预览功能</t>
        </is>
      </c>
      <c r="E78" s="15" t="inlineStr">
        <is>
          <t>Wade</t>
        </is>
      </c>
      <c r="F78" s="45" t="n">
        <v>46323</v>
      </c>
      <c r="G78" s="45" t="n">
        <v>46324</v>
      </c>
      <c r="H78" s="15" t="n">
        <v>2</v>
      </c>
      <c r="I78" s="46" t="n">
        <v>2</v>
      </c>
      <c r="J78" s="17" t="inlineStr">
        <is>
          <t>AI生成+人工审核</t>
        </is>
      </c>
      <c r="K78" s="17" t="inlineStr">
        <is>
          <t>5.1.1</t>
        </is>
      </c>
      <c r="L78" s="15" t="inlineStr">
        <is>
          <t>未开始</t>
        </is>
      </c>
      <c r="M78" s="20" t="n">
        <v>0</v>
      </c>
      <c r="N78" s="15" t="inlineStr">
        <is>
          <t>高</t>
        </is>
      </c>
      <c r="O78" s="21" t="n"/>
      <c r="P78" s="21" t="n"/>
      <c r="Q78" s="17" t="inlineStr"/>
    </row>
    <row r="79">
      <c r="A79" s="15" t="inlineStr">
        <is>
          <t>5.1.3</t>
        </is>
      </c>
      <c r="B79" s="22" t="inlineStr">
        <is>
          <t>F06-01/02/03 审计日志：归档操作日志记录+查询操作日志记录+导出操作日志记录+审计查询界面</t>
        </is>
      </c>
      <c r="C79" s="15" t="n">
        <v>3</v>
      </c>
      <c r="D79" s="17" t="inlineStr">
        <is>
          <t>审计功能</t>
        </is>
      </c>
      <c r="E79" s="15" t="inlineStr">
        <is>
          <t>Wade</t>
        </is>
      </c>
      <c r="F79" s="45" t="n">
        <v>46325</v>
      </c>
      <c r="G79" s="45" t="n">
        <v>46328</v>
      </c>
      <c r="H79" s="15" t="n">
        <v>2</v>
      </c>
      <c r="I79" s="46" t="n">
        <v>2</v>
      </c>
      <c r="J79" s="17" t="inlineStr">
        <is>
          <t>AI生成+人工审核</t>
        </is>
      </c>
      <c r="K79" s="17" t="inlineStr">
        <is>
          <t>5.1.1</t>
        </is>
      </c>
      <c r="L79" s="15" t="inlineStr">
        <is>
          <t>未开始</t>
        </is>
      </c>
      <c r="M79" s="20" t="n">
        <v>0</v>
      </c>
      <c r="N79" s="15" t="inlineStr">
        <is>
          <t>高</t>
        </is>
      </c>
      <c r="O79" s="21" t="n"/>
      <c r="P79" s="21" t="n"/>
      <c r="Q79" s="17" t="inlineStr">
        <is>
          <t>越权与掩码旁路用例全跑（门禁红线）</t>
        </is>
      </c>
    </row>
    <row r="80">
      <c r="A80" s="15" t="inlineStr">
        <is>
          <t>5.1.4</t>
        </is>
      </c>
      <c r="B80" s="22" t="inlineStr">
        <is>
          <t>前端性能粗调（渲染/懒加载/虚拟列表）</t>
        </is>
      </c>
      <c r="C80" s="15" t="n">
        <v>3</v>
      </c>
      <c r="D80" s="17" t="inlineStr">
        <is>
          <t>性能优化清单</t>
        </is>
      </c>
      <c r="E80" s="15" t="inlineStr">
        <is>
          <t>Wade</t>
        </is>
      </c>
      <c r="F80" s="45" t="n">
        <v>46329</v>
      </c>
      <c r="G80" s="45" t="n">
        <v>46329</v>
      </c>
      <c r="H80" s="15" t="n">
        <v>1</v>
      </c>
      <c r="I80" s="46" t="n">
        <v>1</v>
      </c>
      <c r="J80" s="17" t="inlineStr">
        <is>
          <t>AI辅助</t>
        </is>
      </c>
      <c r="K80" s="17" t="inlineStr">
        <is>
          <t>5.1.2</t>
        </is>
      </c>
      <c r="L80" s="15" t="inlineStr">
        <is>
          <t>未开始</t>
        </is>
      </c>
      <c r="M80" s="20" t="n">
        <v>0</v>
      </c>
      <c r="N80" s="15" t="inlineStr">
        <is>
          <t>中</t>
        </is>
      </c>
      <c r="O80" s="21" t="n"/>
      <c r="P80" s="21" t="n"/>
      <c r="Q80" s="17" t="inlineStr"/>
    </row>
    <row r="81">
      <c r="A81" s="15" t="inlineStr">
        <is>
          <t>5.1.5</t>
        </is>
      </c>
      <c r="B81" s="22" t="inlineStr">
        <is>
          <t>F03-01/02协作：保留策略配置界面+Legal Hold冻结/解除界面（含审批）</t>
        </is>
      </c>
      <c r="C81" s="15" t="n">
        <v>3</v>
      </c>
      <c r="D81" s="17" t="inlineStr">
        <is>
          <t>处置界面</t>
        </is>
      </c>
      <c r="E81" s="15" t="inlineStr">
        <is>
          <t>Wade</t>
        </is>
      </c>
      <c r="F81" s="45" t="n">
        <v>46330</v>
      </c>
      <c r="G81" s="45" t="n">
        <v>46331</v>
      </c>
      <c r="H81" s="15" t="n">
        <v>2</v>
      </c>
      <c r="I81" s="46" t="n">
        <v>2</v>
      </c>
      <c r="J81" s="17" t="inlineStr">
        <is>
          <t>AI生成+人工审核</t>
        </is>
      </c>
      <c r="K81" s="17" t="inlineStr">
        <is>
          <t>3.3.2</t>
        </is>
      </c>
      <c r="L81" s="15" t="inlineStr">
        <is>
          <t>未开始</t>
        </is>
      </c>
      <c r="M81" s="20" t="n">
        <v>0</v>
      </c>
      <c r="N81" s="15" t="inlineStr">
        <is>
          <t>高</t>
        </is>
      </c>
      <c r="O81" s="21" t="n"/>
      <c r="P81" s="21" t="n"/>
      <c r="Q81" s="17" t="inlineStr"/>
    </row>
    <row r="82">
      <c r="A82" s="15" t="inlineStr">
        <is>
          <t>5.1.6</t>
        </is>
      </c>
      <c r="B82" s="22" t="inlineStr">
        <is>
          <t>跨模块缺陷修复+技术债偿还A侧第1期（重构/AI反生成README与调用图）</t>
        </is>
      </c>
      <c r="C82" s="15" t="n">
        <v>3</v>
      </c>
      <c r="D82" s="17" t="inlineStr">
        <is>
          <t>模块README、重构提交</t>
        </is>
      </c>
      <c r="E82" s="15" t="inlineStr">
        <is>
          <t>Wade</t>
        </is>
      </c>
      <c r="F82" s="45" t="n">
        <v>46332</v>
      </c>
      <c r="G82" s="45" t="n">
        <v>46332</v>
      </c>
      <c r="H82" s="15" t="n">
        <v>1</v>
      </c>
      <c r="I82" s="46" t="n">
        <v>1</v>
      </c>
      <c r="J82" s="17" t="inlineStr">
        <is>
          <t>AI辅助</t>
        </is>
      </c>
      <c r="K82" s="17" t="inlineStr">
        <is>
          <t>5.1.3</t>
        </is>
      </c>
      <c r="L82" s="15" t="inlineStr">
        <is>
          <t>未开始</t>
        </is>
      </c>
      <c r="M82" s="20" t="n">
        <v>0</v>
      </c>
      <c r="N82" s="15" t="inlineStr">
        <is>
          <t>中</t>
        </is>
      </c>
      <c r="O82" s="21" t="n"/>
      <c r="P82" s="21" t="n"/>
      <c r="Q82" s="17" t="inlineStr">
        <is>
          <t>固定每周五下午还债机制的一部分</t>
        </is>
      </c>
    </row>
    <row r="83">
      <c r="A83" s="15" t="inlineStr">
        <is>
          <t>5.1.7</t>
        </is>
      </c>
      <c r="B83" s="22" t="inlineStr">
        <is>
          <t>F05导出优化（大数据量流式导出）</t>
        </is>
      </c>
      <c r="C83" s="15" t="n">
        <v>3</v>
      </c>
      <c r="D83" s="17" t="inlineStr">
        <is>
          <t>流式导出功能</t>
        </is>
      </c>
      <c r="E83" s="15" t="inlineStr">
        <is>
          <t>Wade</t>
        </is>
      </c>
      <c r="F83" s="45" t="n">
        <v>46335</v>
      </c>
      <c r="G83" s="45" t="n">
        <v>46336</v>
      </c>
      <c r="H83" s="15" t="n">
        <v>2</v>
      </c>
      <c r="I83" s="46" t="n">
        <v>2</v>
      </c>
      <c r="J83" s="17" t="inlineStr">
        <is>
          <t>AI生成+人工审核</t>
        </is>
      </c>
      <c r="K83" s="17" t="inlineStr">
        <is>
          <t>5.1.2</t>
        </is>
      </c>
      <c r="L83" s="15" t="inlineStr">
        <is>
          <t>未开始</t>
        </is>
      </c>
      <c r="M83" s="20" t="n">
        <v>0</v>
      </c>
      <c r="N83" s="15" t="inlineStr">
        <is>
          <t>高</t>
        </is>
      </c>
      <c r="O83" s="21" t="n"/>
      <c r="P83" s="21" t="n"/>
      <c r="Q83" s="17" t="inlineStr"/>
    </row>
    <row r="84">
      <c r="A84" s="15" t="inlineStr">
        <is>
          <t>5.1.8</t>
        </is>
      </c>
      <c r="B84" s="22" t="inlineStr">
        <is>
          <t>全链路前端走查（登录→检索→预览→导出→处置→审计）</t>
        </is>
      </c>
      <c r="C84" s="15" t="n">
        <v>3</v>
      </c>
      <c r="D84" s="17" t="inlineStr">
        <is>
          <t>走查记录</t>
        </is>
      </c>
      <c r="E84" s="15" t="inlineStr">
        <is>
          <t>Wade</t>
        </is>
      </c>
      <c r="F84" s="45" t="n">
        <v>46337</v>
      </c>
      <c r="G84" s="45" t="n">
        <v>46337</v>
      </c>
      <c r="H84" s="15" t="n">
        <v>1</v>
      </c>
      <c r="I84" s="46" t="n">
        <v>0.5</v>
      </c>
      <c r="J84" s="17" t="inlineStr">
        <is>
          <t>人工主导</t>
        </is>
      </c>
      <c r="K84" s="17" t="inlineStr">
        <is>
          <t>5.1.7;5.1.5</t>
        </is>
      </c>
      <c r="L84" s="15" t="inlineStr">
        <is>
          <t>未开始</t>
        </is>
      </c>
      <c r="M84" s="20" t="n">
        <v>0</v>
      </c>
      <c r="N84" s="15" t="inlineStr">
        <is>
          <t>高</t>
        </is>
      </c>
      <c r="O84" s="21" t="n"/>
      <c r="P84" s="21" t="n"/>
      <c r="Q84" s="17" t="inlineStr"/>
    </row>
    <row r="85">
      <c r="A85" s="15" t="inlineStr">
        <is>
          <t>5.1.9</t>
        </is>
      </c>
      <c r="B85" s="22" t="inlineStr">
        <is>
          <t>前端缺陷收敛（P0/P1清零）+AI自查同源盲区复核</t>
        </is>
      </c>
      <c r="C85" s="15" t="n">
        <v>3</v>
      </c>
      <c r="D85" s="17" t="inlineStr">
        <is>
          <t>缺陷清单（前端清零）</t>
        </is>
      </c>
      <c r="E85" s="15" t="inlineStr">
        <is>
          <t>Wade</t>
        </is>
      </c>
      <c r="F85" s="45" t="n">
        <v>46338</v>
      </c>
      <c r="G85" s="45" t="n">
        <v>46339</v>
      </c>
      <c r="H85" s="15" t="n">
        <v>2</v>
      </c>
      <c r="I85" s="46" t="n">
        <v>1.5</v>
      </c>
      <c r="J85" s="17" t="inlineStr">
        <is>
          <t>AI辅助</t>
        </is>
      </c>
      <c r="K85" s="17" t="inlineStr">
        <is>
          <t>5.1.8</t>
        </is>
      </c>
      <c r="L85" s="15" t="inlineStr">
        <is>
          <t>未开始</t>
        </is>
      </c>
      <c r="M85" s="20" t="n">
        <v>0</v>
      </c>
      <c r="N85" s="15" t="inlineStr">
        <is>
          <t>高</t>
        </is>
      </c>
      <c r="O85" s="21" t="n"/>
      <c r="P85" s="21" t="n"/>
      <c r="Q85" s="17" t="inlineStr"/>
    </row>
    <row r="86">
      <c r="A86" s="15" t="inlineStr">
        <is>
          <t>5.2</t>
        </is>
      </c>
      <c r="B86" s="16" t="inlineStr">
        <is>
          <t>模块2/3/4数据侧（DevB）</t>
        </is>
      </c>
      <c r="C86" s="15" t="n">
        <v>2</v>
      </c>
      <c r="D86" s="17" t="inlineStr">
        <is>
          <t>F02界面、F03两项、F04四项、增量框架</t>
        </is>
      </c>
      <c r="E86" s="15" t="inlineStr">
        <is>
          <t>DevB</t>
        </is>
      </c>
      <c r="F86" s="45" t="n">
        <v>46321</v>
      </c>
      <c r="G86" s="45" t="n">
        <v>46339</v>
      </c>
      <c r="H86" s="15" t="n">
        <v>15</v>
      </c>
      <c r="I86" s="46">
        <f>ROUND(SUMPRODUCT(($C$87:$C$97=3)*(LEFT($A$87:$A$97,LEN(A86))=A86)*$I$87:$I$97),2)</f>
        <v/>
      </c>
      <c r="J86" s="17" t="inlineStr"/>
      <c r="K86" s="17" t="inlineStr"/>
      <c r="L86" s="15" t="inlineStr">
        <is>
          <t>未开始</t>
        </is>
      </c>
      <c r="M86" s="20" t="n">
        <v>0</v>
      </c>
      <c r="N86" s="15" t="inlineStr">
        <is>
          <t>高</t>
        </is>
      </c>
      <c r="O86" s="21" t="n"/>
      <c r="P86" s="21" t="n"/>
      <c r="Q86" s="17" t="inlineStr"/>
    </row>
    <row r="87">
      <c r="A87" s="15" t="inlineStr">
        <is>
          <t>5.2.1</t>
        </is>
      </c>
      <c r="B87" s="22" t="inlineStr">
        <is>
          <t>F02收口：元数据标准管理界面（兼前端，复用A组件规范）</t>
        </is>
      </c>
      <c r="C87" s="15" t="n">
        <v>3</v>
      </c>
      <c r="D87" s="17" t="inlineStr">
        <is>
          <t>元数据管理界面</t>
        </is>
      </c>
      <c r="E87" s="15" t="inlineStr">
        <is>
          <t>DevB</t>
        </is>
      </c>
      <c r="F87" s="45" t="n">
        <v>46321</v>
      </c>
      <c r="G87" s="45" t="n">
        <v>46321</v>
      </c>
      <c r="H87" s="15" t="n">
        <v>1</v>
      </c>
      <c r="I87" s="46" t="n">
        <v>1</v>
      </c>
      <c r="J87" s="17" t="inlineStr">
        <is>
          <t>AI生成+人工审核</t>
        </is>
      </c>
      <c r="K87" s="17" t="inlineStr">
        <is>
          <t>4.2.6</t>
        </is>
      </c>
      <c r="L87" s="15" t="inlineStr">
        <is>
          <t>未开始</t>
        </is>
      </c>
      <c r="M87" s="20" t="n">
        <v>0</v>
      </c>
      <c r="N87" s="15" t="inlineStr">
        <is>
          <t>高</t>
        </is>
      </c>
      <c r="O87" s="21" t="n"/>
      <c r="P87" s="21" t="n"/>
      <c r="Q87" s="17" t="inlineStr">
        <is>
          <t>模块2完成</t>
        </is>
      </c>
    </row>
    <row r="88">
      <c r="A88" s="15" t="inlineStr">
        <is>
          <t>5.2.2</t>
        </is>
      </c>
      <c r="B88" s="22" t="inlineStr">
        <is>
          <t>F04-01 数据加密存储（ADLS原生SSE+CMK配置+PII字段加密落盘验证/密钥版本化）</t>
        </is>
      </c>
      <c r="C88" s="15" t="n">
        <v>3</v>
      </c>
      <c r="D88" s="17" t="inlineStr">
        <is>
          <t>加密存储生效</t>
        </is>
      </c>
      <c r="E88" s="15" t="inlineStr">
        <is>
          <t>DevB</t>
        </is>
      </c>
      <c r="F88" s="45" t="n">
        <v>46322</v>
      </c>
      <c r="G88" s="45" t="n">
        <v>46323</v>
      </c>
      <c r="H88" s="15" t="n">
        <v>2</v>
      </c>
      <c r="I88" s="46" t="n">
        <v>2</v>
      </c>
      <c r="J88" s="17" t="inlineStr">
        <is>
          <t>AI生成+人工审核</t>
        </is>
      </c>
      <c r="K88" s="17" t="inlineStr">
        <is>
          <t>3.2.8</t>
        </is>
      </c>
      <c r="L88" s="15" t="inlineStr">
        <is>
          <t>未开始</t>
        </is>
      </c>
      <c r="M88" s="20" t="n">
        <v>0</v>
      </c>
      <c r="N88" s="15" t="inlineStr">
        <is>
          <t>高</t>
        </is>
      </c>
      <c r="O88" s="21" t="n"/>
      <c r="P88" s="21" t="n"/>
      <c r="Q88" s="17" t="inlineStr"/>
    </row>
    <row r="89">
      <c r="A89" s="15" t="inlineStr">
        <is>
          <t>5.2.3</t>
        </is>
      </c>
      <c r="B89" s="22" t="inlineStr">
        <is>
          <t>F04-02 密钥管理（Key Vault原生服务+RBAC配置+应用Managed Identity集成与审计对接）</t>
        </is>
      </c>
      <c r="C89" s="15" t="n">
        <v>3</v>
      </c>
      <c r="D89" s="17" t="inlineStr">
        <is>
          <t>密钥管理功能</t>
        </is>
      </c>
      <c r="E89" s="15" t="inlineStr">
        <is>
          <t>DevB</t>
        </is>
      </c>
      <c r="F89" s="45" t="n">
        <v>46324</v>
      </c>
      <c r="G89" s="45" t="n">
        <v>46325</v>
      </c>
      <c r="H89" s="15" t="n">
        <v>2</v>
      </c>
      <c r="I89" s="46" t="n">
        <v>2</v>
      </c>
      <c r="J89" s="17" t="inlineStr">
        <is>
          <t>AI生成+人工审核</t>
        </is>
      </c>
      <c r="K89" s="17" t="inlineStr">
        <is>
          <t>5.2.2</t>
        </is>
      </c>
      <c r="L89" s="15" t="inlineStr">
        <is>
          <t>未开始</t>
        </is>
      </c>
      <c r="M89" s="20" t="n">
        <v>0</v>
      </c>
      <c r="N89" s="15" t="inlineStr">
        <is>
          <t>高</t>
        </is>
      </c>
      <c r="O89" s="21" t="n"/>
      <c r="P89" s="21" t="inlineStr">
        <is>
          <t>创建/保管/轮换/权限均为Key Vault原生能力；开发仅集成与审计对接</t>
        </is>
      </c>
      <c r="Q89" s="17" t="inlineStr"/>
    </row>
    <row r="90">
      <c r="A90" s="15" t="inlineStr">
        <is>
          <t>5.2.4</t>
        </is>
      </c>
      <c r="B90" s="22" t="inlineStr">
        <is>
          <t>ADLS生命周期分层规则配置（Hot/Cool）</t>
        </is>
      </c>
      <c r="C90" s="15" t="n">
        <v>3</v>
      </c>
      <c r="D90" s="17" t="inlineStr">
        <is>
          <t>分层策略配置</t>
        </is>
      </c>
      <c r="E90" s="15" t="inlineStr">
        <is>
          <t>DevB</t>
        </is>
      </c>
      <c r="F90" s="45" t="n">
        <v>46328</v>
      </c>
      <c r="G90" s="45" t="n">
        <v>46328</v>
      </c>
      <c r="H90" s="15" t="n">
        <v>1</v>
      </c>
      <c r="I90" s="46" t="n">
        <v>1</v>
      </c>
      <c r="J90" s="17" t="inlineStr">
        <is>
          <t>自动化流水线</t>
        </is>
      </c>
      <c r="K90" s="17" t="inlineStr">
        <is>
          <t>5.2.2</t>
        </is>
      </c>
      <c r="L90" s="15" t="inlineStr">
        <is>
          <t>未开始</t>
        </is>
      </c>
      <c r="M90" s="20" t="n">
        <v>0</v>
      </c>
      <c r="N90" s="15" t="inlineStr">
        <is>
          <t>中</t>
        </is>
      </c>
      <c r="O90" s="21" t="n"/>
      <c r="P90" s="21" t="n"/>
      <c r="Q90" s="17" t="inlineStr"/>
    </row>
    <row r="91">
      <c r="A91" s="15" t="inlineStr">
        <is>
          <t>5.2.5</t>
        </is>
      </c>
      <c r="B91" s="22" t="inlineStr">
        <is>
          <t>F03-01 保留期限到期自动删除（处置引擎：扫描→DROP PARTITION→VACUUM）</t>
        </is>
      </c>
      <c r="C91" s="15" t="n">
        <v>3</v>
      </c>
      <c r="D91" s="17" t="inlineStr">
        <is>
          <t>处置引擎作业</t>
        </is>
      </c>
      <c r="E91" s="15" t="inlineStr">
        <is>
          <t>DevB</t>
        </is>
      </c>
      <c r="F91" s="45" t="n">
        <v>46329</v>
      </c>
      <c r="G91" s="45" t="n">
        <v>46330</v>
      </c>
      <c r="H91" s="15" t="n">
        <v>2</v>
      </c>
      <c r="I91" s="46" t="n">
        <v>2</v>
      </c>
      <c r="J91" s="17" t="inlineStr">
        <is>
          <t>AI生成+人工审核</t>
        </is>
      </c>
      <c r="K91" s="17" t="inlineStr">
        <is>
          <t>4.2.7</t>
        </is>
      </c>
      <c r="L91" s="15" t="inlineStr">
        <is>
          <t>未开始</t>
        </is>
      </c>
      <c r="M91" s="20" t="n">
        <v>0</v>
      </c>
      <c r="N91" s="15" t="inlineStr">
        <is>
          <t>高</t>
        </is>
      </c>
      <c r="O91" s="21" t="n"/>
      <c r="P91" s="21" t="n"/>
      <c r="Q91" s="17" t="inlineStr"/>
    </row>
    <row r="92">
      <c r="A92" s="15" t="inlineStr">
        <is>
          <t>5.2.6</t>
        </is>
      </c>
      <c r="B92" s="22" t="inlineStr">
        <is>
          <t>F03-02 Legal Hold 冻结（Hold/Release+豁免+留痕）+处置链路验证（短保留样本→到期→物理清除）</t>
        </is>
      </c>
      <c r="C92" s="15" t="n">
        <v>3</v>
      </c>
      <c r="D92" s="17" t="inlineStr">
        <is>
          <t>Legal Hold功能、验证记录</t>
        </is>
      </c>
      <c r="E92" s="15" t="inlineStr">
        <is>
          <t>DevB</t>
        </is>
      </c>
      <c r="F92" s="45" t="n">
        <v>46331</v>
      </c>
      <c r="G92" s="45" t="n">
        <v>46331</v>
      </c>
      <c r="H92" s="15" t="n">
        <v>1</v>
      </c>
      <c r="I92" s="46" t="n">
        <v>1</v>
      </c>
      <c r="J92" s="17" t="inlineStr">
        <is>
          <t>AI生成+人工审核</t>
        </is>
      </c>
      <c r="K92" s="17" t="inlineStr">
        <is>
          <t>5.2.5</t>
        </is>
      </c>
      <c r="L92" s="15" t="inlineStr">
        <is>
          <t>未开始</t>
        </is>
      </c>
      <c r="M92" s="20" t="n">
        <v>0</v>
      </c>
      <c r="N92" s="15" t="inlineStr">
        <is>
          <t>高</t>
        </is>
      </c>
      <c r="O92" s="21" t="n"/>
      <c r="P92" s="21" t="n"/>
      <c r="Q92" s="17" t="inlineStr"/>
    </row>
    <row r="93">
      <c r="A93" s="15" t="inlineStr">
        <is>
          <t>5.2.7</t>
        </is>
      </c>
      <c r="B93" s="22" t="inlineStr">
        <is>
          <t>F04-03 数据备份管理（策略配置+副本创建）</t>
        </is>
      </c>
      <c r="C93" s="15" t="n">
        <v>3</v>
      </c>
      <c r="D93" s="17" t="inlineStr">
        <is>
          <t>备份功能</t>
        </is>
      </c>
      <c r="E93" s="15" t="inlineStr">
        <is>
          <t>DevB</t>
        </is>
      </c>
      <c r="F93" s="45" t="n">
        <v>46332</v>
      </c>
      <c r="G93" s="45" t="n">
        <v>46332</v>
      </c>
      <c r="H93" s="15" t="n">
        <v>1</v>
      </c>
      <c r="I93" s="46" t="n">
        <v>1</v>
      </c>
      <c r="J93" s="17" t="inlineStr">
        <is>
          <t>AI生成+人工审核</t>
        </is>
      </c>
      <c r="K93" s="17" t="inlineStr">
        <is>
          <t>5.2.3</t>
        </is>
      </c>
      <c r="L93" s="15" t="inlineStr">
        <is>
          <t>未开始</t>
        </is>
      </c>
      <c r="M93" s="20" t="n">
        <v>0</v>
      </c>
      <c r="N93" s="15" t="inlineStr">
        <is>
          <t>高</t>
        </is>
      </c>
      <c r="O93" s="21" t="n"/>
      <c r="P93" s="21" t="n"/>
      <c r="Q93" s="17" t="inlineStr"/>
    </row>
    <row r="94">
      <c r="A94" s="15" t="inlineStr">
        <is>
          <t>5.2.8</t>
        </is>
      </c>
      <c r="B94" s="22" t="inlineStr">
        <is>
          <t>F04-04 异地灾备（Azure Blob原生异地冗余GRS/RA-GRS配置+恢复流程演练，非自研）</t>
        </is>
      </c>
      <c r="C94" s="15" t="n">
        <v>3</v>
      </c>
      <c r="D94" s="17" t="inlineStr">
        <is>
          <t>灾备配置与恢复演练记录</t>
        </is>
      </c>
      <c r="E94" s="15" t="inlineStr">
        <is>
          <t>DevB</t>
        </is>
      </c>
      <c r="F94" s="45" t="n">
        <v>46335</v>
      </c>
      <c r="G94" s="45" t="n">
        <v>46335</v>
      </c>
      <c r="H94" s="15" t="n">
        <v>1</v>
      </c>
      <c r="I94" s="46" t="n">
        <v>1</v>
      </c>
      <c r="J94" s="17" t="inlineStr">
        <is>
          <t>AI生成+人工审核</t>
        </is>
      </c>
      <c r="K94" s="17" t="inlineStr">
        <is>
          <t>5.2.7</t>
        </is>
      </c>
      <c r="L94" s="15" t="inlineStr">
        <is>
          <t>未开始</t>
        </is>
      </c>
      <c r="M94" s="20" t="n">
        <v>0</v>
      </c>
      <c r="N94" s="15" t="inlineStr">
        <is>
          <t>中</t>
        </is>
      </c>
      <c r="O94" s="21" t="n"/>
      <c r="P94" s="21" t="inlineStr">
        <is>
          <t>Azure Blob原生能力（GRS）：仅配置冗余选项+恢复演练验证，开发量极小；11/9完成</t>
        </is>
      </c>
      <c r="Q94" s="17" t="inlineStr"/>
    </row>
    <row r="95">
      <c r="A95" s="15" t="inlineStr">
        <is>
          <t>5.2.9</t>
        </is>
      </c>
      <c r="B95" s="22" t="inlineStr">
        <is>
          <t>增量数据接入作业框架（在运系统冷数据周期接入）</t>
        </is>
      </c>
      <c r="C95" s="15" t="n">
        <v>3</v>
      </c>
      <c r="D95" s="17" t="inlineStr">
        <is>
          <t>增量作业框架</t>
        </is>
      </c>
      <c r="E95" s="15" t="inlineStr">
        <is>
          <t>DevB</t>
        </is>
      </c>
      <c r="F95" s="45" t="n">
        <v>46336</v>
      </c>
      <c r="G95" s="45" t="n">
        <v>46336</v>
      </c>
      <c r="H95" s="15" t="n">
        <v>1</v>
      </c>
      <c r="I95" s="46" t="n">
        <v>1</v>
      </c>
      <c r="J95" s="17" t="inlineStr">
        <is>
          <t>AI生成+人工审核</t>
        </is>
      </c>
      <c r="K95" s="17" t="inlineStr">
        <is>
          <t>4.2.7</t>
        </is>
      </c>
      <c r="L95" s="15" t="inlineStr">
        <is>
          <t>未开始</t>
        </is>
      </c>
      <c r="M95" s="20" t="n">
        <v>0</v>
      </c>
      <c r="N95" s="15" t="inlineStr">
        <is>
          <t>中</t>
        </is>
      </c>
      <c r="O95" s="21" t="n"/>
      <c r="P95" s="21" t="n"/>
      <c r="Q95" s="17" t="inlineStr">
        <is>
          <t>为CC后续常态化接入准备</t>
        </is>
      </c>
    </row>
    <row r="96">
      <c r="A96" s="15" t="inlineStr">
        <is>
          <t>5.2.10</t>
        </is>
      </c>
      <c r="B96" s="22" t="inlineStr">
        <is>
          <t>对账台账生成（处置留痕）+模块2/3/4数据侧自测</t>
        </is>
      </c>
      <c r="C96" s="15" t="n">
        <v>3</v>
      </c>
      <c r="D96" s="17" t="inlineStr">
        <is>
          <t>对账台账、自测记录</t>
        </is>
      </c>
      <c r="E96" s="15" t="inlineStr">
        <is>
          <t>DevB</t>
        </is>
      </c>
      <c r="F96" s="45" t="n">
        <v>46337</v>
      </c>
      <c r="G96" s="45" t="n">
        <v>46337</v>
      </c>
      <c r="H96" s="15" t="n">
        <v>1</v>
      </c>
      <c r="I96" s="46" t="n">
        <v>1</v>
      </c>
      <c r="J96" s="17" t="inlineStr">
        <is>
          <t>AI辅助</t>
        </is>
      </c>
      <c r="K96" s="17" t="inlineStr">
        <is>
          <t>5.2.6</t>
        </is>
      </c>
      <c r="L96" s="15" t="inlineStr">
        <is>
          <t>未开始</t>
        </is>
      </c>
      <c r="M96" s="20" t="n">
        <v>0</v>
      </c>
      <c r="N96" s="15" t="inlineStr">
        <is>
          <t>高</t>
        </is>
      </c>
      <c r="O96" s="21" t="n"/>
      <c r="P96" s="21" t="n"/>
      <c r="Q96" s="17" t="inlineStr"/>
    </row>
    <row r="97">
      <c r="A97" s="15" t="inlineStr">
        <is>
          <t>5.2.11</t>
        </is>
      </c>
      <c r="B97" s="22" t="inlineStr">
        <is>
          <t>数据侧缺陷收敛+技术债偿还B侧（SQL优化/小文件治理）</t>
        </is>
      </c>
      <c r="C97" s="15" t="n">
        <v>3</v>
      </c>
      <c r="D97" s="17" t="inlineStr">
        <is>
          <t>缺陷清单（数据侧收敛）</t>
        </is>
      </c>
      <c r="E97" s="15" t="inlineStr">
        <is>
          <t>DevB</t>
        </is>
      </c>
      <c r="F97" s="45" t="n">
        <v>46338</v>
      </c>
      <c r="G97" s="45" t="n">
        <v>46339</v>
      </c>
      <c r="H97" s="15" t="n">
        <v>2</v>
      </c>
      <c r="I97" s="46" t="n">
        <v>1.5</v>
      </c>
      <c r="J97" s="17" t="inlineStr">
        <is>
          <t>AI辅助</t>
        </is>
      </c>
      <c r="K97" s="17" t="inlineStr">
        <is>
          <t>5.2.10</t>
        </is>
      </c>
      <c r="L97" s="15" t="inlineStr">
        <is>
          <t>未开始</t>
        </is>
      </c>
      <c r="M97" s="20" t="n">
        <v>0</v>
      </c>
      <c r="N97" s="15" t="inlineStr">
        <is>
          <t>高</t>
        </is>
      </c>
      <c r="O97" s="21" t="n"/>
      <c r="P97" s="21" t="n"/>
      <c r="Q97" s="17" t="inlineStr"/>
    </row>
    <row r="98">
      <c r="A98" s="15" t="inlineStr">
        <is>
          <t>5.3</t>
        </is>
      </c>
      <c r="B98" s="16" t="inlineStr">
        <is>
          <t>走查/文档/UAT准备（Mandy）</t>
        </is>
      </c>
      <c r="C98" s="15" t="n">
        <v>2</v>
      </c>
      <c r="D98" s="17" t="inlineStr">
        <is>
          <t>各模块走查签字、用户/操作手册初稿、UAT脚本启动</t>
        </is>
      </c>
      <c r="E98" s="15" t="inlineStr">
        <is>
          <t>Mandy</t>
        </is>
      </c>
      <c r="F98" s="45" t="n">
        <v>46321</v>
      </c>
      <c r="G98" s="45" t="n">
        <v>46339</v>
      </c>
      <c r="H98" s="15" t="n">
        <v>15</v>
      </c>
      <c r="I98" s="46">
        <f>ROUND(SUMPRODUCT(($C$99:$C$111=3)*(LEFT($A$99:$A$111,LEN(A98))=A98)*$I$99:$I$111),2)</f>
        <v/>
      </c>
      <c r="J98" s="17" t="inlineStr"/>
      <c r="K98" s="17" t="inlineStr"/>
      <c r="L98" s="15" t="inlineStr">
        <is>
          <t>未开始</t>
        </is>
      </c>
      <c r="M98" s="20" t="n">
        <v>0</v>
      </c>
      <c r="N98" s="15" t="inlineStr">
        <is>
          <t>高</t>
        </is>
      </c>
      <c r="O98" s="21" t="n"/>
      <c r="P98" s="21" t="n"/>
      <c r="Q98" s="17" t="inlineStr">
        <is>
          <t>含机动缓冲1人天</t>
        </is>
      </c>
    </row>
    <row r="99">
      <c r="A99" s="15" t="inlineStr">
        <is>
          <t>5.3.1</t>
        </is>
      </c>
      <c r="B99" s="22" t="inlineStr">
        <is>
          <t>AI反生成用户手册初稿·上（F01/F08章，人工润色）</t>
        </is>
      </c>
      <c r="C99" s="15" t="n">
        <v>3</v>
      </c>
      <c r="D99" s="17" t="inlineStr">
        <is>
          <t>手册草稿（上）</t>
        </is>
      </c>
      <c r="E99" s="15" t="inlineStr">
        <is>
          <t>Mandy</t>
        </is>
      </c>
      <c r="F99" s="45" t="n">
        <v>46321</v>
      </c>
      <c r="G99" s="45" t="n">
        <v>46322</v>
      </c>
      <c r="H99" s="15" t="n">
        <v>2</v>
      </c>
      <c r="I99" s="46" t="n">
        <v>1.5</v>
      </c>
      <c r="J99" s="17" t="inlineStr">
        <is>
          <t>AI生成+人工审核</t>
        </is>
      </c>
      <c r="K99" s="17" t="inlineStr">
        <is>
          <t>4.4.5</t>
        </is>
      </c>
      <c r="L99" s="15" t="inlineStr">
        <is>
          <t>未开始</t>
        </is>
      </c>
      <c r="M99" s="20" t="n">
        <v>0</v>
      </c>
      <c r="N99" s="15" t="inlineStr">
        <is>
          <t>中</t>
        </is>
      </c>
      <c r="O99" s="21" t="n"/>
      <c r="P99" s="21" t="n"/>
      <c r="Q99" s="17" t="inlineStr"/>
    </row>
    <row r="100">
      <c r="A100" s="15" t="inlineStr">
        <is>
          <t>5.3.2</t>
        </is>
      </c>
      <c r="B100" s="22" t="inlineStr">
        <is>
          <t>模块2走查（F02对照）+操作手册大纲（AI辅助）</t>
        </is>
      </c>
      <c r="C100" s="15" t="n">
        <v>3</v>
      </c>
      <c r="D100" s="17" t="inlineStr">
        <is>
          <t>走查签字单、手册大纲</t>
        </is>
      </c>
      <c r="E100" s="15" t="inlineStr">
        <is>
          <t>Mandy</t>
        </is>
      </c>
      <c r="F100" s="45" t="n">
        <v>46323</v>
      </c>
      <c r="G100" s="45" t="n">
        <v>46323</v>
      </c>
      <c r="H100" s="15" t="n">
        <v>1</v>
      </c>
      <c r="I100" s="46" t="n">
        <v>1</v>
      </c>
      <c r="J100" s="17" t="inlineStr">
        <is>
          <t>AI辅助</t>
        </is>
      </c>
      <c r="K100" s="17" t="inlineStr">
        <is>
          <t>5.2.1</t>
        </is>
      </c>
      <c r="L100" s="15" t="inlineStr">
        <is>
          <t>未开始</t>
        </is>
      </c>
      <c r="M100" s="20" t="n">
        <v>0</v>
      </c>
      <c r="N100" s="15" t="inlineStr">
        <is>
          <t>高</t>
        </is>
      </c>
      <c r="O100" s="21" t="n"/>
      <c r="P100" s="21" t="n"/>
      <c r="Q100" s="17" t="inlineStr"/>
    </row>
    <row r="101">
      <c r="A101" s="15" t="inlineStr">
        <is>
          <t>5.3.3</t>
        </is>
      </c>
      <c r="B101" s="22" t="inlineStr">
        <is>
          <t>用户手册初稿·中（F02/F03章素材）</t>
        </is>
      </c>
      <c r="C101" s="15" t="n">
        <v>3</v>
      </c>
      <c r="D101" s="17" t="inlineStr">
        <is>
          <t>手册草稿（中）</t>
        </is>
      </c>
      <c r="E101" s="15" t="inlineStr">
        <is>
          <t>Mandy</t>
        </is>
      </c>
      <c r="F101" s="45" t="n">
        <v>46324</v>
      </c>
      <c r="G101" s="45" t="n">
        <v>46324</v>
      </c>
      <c r="H101" s="15" t="n">
        <v>1</v>
      </c>
      <c r="I101" s="46" t="n">
        <v>0.5</v>
      </c>
      <c r="J101" s="17" t="inlineStr">
        <is>
          <t>AI生成+人工审核</t>
        </is>
      </c>
      <c r="K101" s="17" t="inlineStr">
        <is>
          <t>5.3.1</t>
        </is>
      </c>
      <c r="L101" s="15" t="inlineStr">
        <is>
          <t>未开始</t>
        </is>
      </c>
      <c r="M101" s="20" t="n">
        <v>0</v>
      </c>
      <c r="N101" s="15" t="inlineStr">
        <is>
          <t>中</t>
        </is>
      </c>
      <c r="O101" s="21" t="n"/>
      <c r="P101" s="21" t="n"/>
      <c r="Q101" s="17" t="inlineStr"/>
    </row>
    <row r="102">
      <c r="A102" s="15" t="inlineStr">
        <is>
          <t>5.3.4</t>
        </is>
      </c>
      <c r="B102" s="22" t="inlineStr">
        <is>
          <t>模块5走查（F05五项对照）</t>
        </is>
      </c>
      <c r="C102" s="15" t="n">
        <v>3</v>
      </c>
      <c r="D102" s="17" t="inlineStr">
        <is>
          <t>走查签字单</t>
        </is>
      </c>
      <c r="E102" s="15" t="inlineStr">
        <is>
          <t>Mandy</t>
        </is>
      </c>
      <c r="F102" s="45" t="n">
        <v>46325</v>
      </c>
      <c r="G102" s="45" t="n">
        <v>46325</v>
      </c>
      <c r="H102" s="15" t="n">
        <v>1</v>
      </c>
      <c r="I102" s="46" t="n">
        <v>1</v>
      </c>
      <c r="J102" s="17" t="inlineStr">
        <is>
          <t>人工主导</t>
        </is>
      </c>
      <c r="K102" s="17" t="inlineStr">
        <is>
          <t>5.1.2</t>
        </is>
      </c>
      <c r="L102" s="15" t="inlineStr">
        <is>
          <t>未开始</t>
        </is>
      </c>
      <c r="M102" s="20" t="n">
        <v>0</v>
      </c>
      <c r="N102" s="15" t="inlineStr">
        <is>
          <t>高</t>
        </is>
      </c>
      <c r="O102" s="21" t="n"/>
      <c r="P102" s="21" t="n"/>
      <c r="Q102" s="17" t="inlineStr"/>
    </row>
    <row r="103">
      <c r="A103" s="15" t="inlineStr">
        <is>
          <t>5.3.5</t>
        </is>
      </c>
      <c r="B103" s="22" t="inlineStr">
        <is>
          <t>缺陷登记回归+手册内容更新（F05/F06章）</t>
        </is>
      </c>
      <c r="C103" s="15" t="n">
        <v>3</v>
      </c>
      <c r="D103" s="17" t="inlineStr">
        <is>
          <t>缺陷台账、手册增量</t>
        </is>
      </c>
      <c r="E103" s="15" t="inlineStr">
        <is>
          <t>Mandy</t>
        </is>
      </c>
      <c r="F103" s="45" t="n">
        <v>46328</v>
      </c>
      <c r="G103" s="45" t="n">
        <v>46328</v>
      </c>
      <c r="H103" s="15" t="n">
        <v>1</v>
      </c>
      <c r="I103" s="46" t="n">
        <v>1</v>
      </c>
      <c r="J103" s="17" t="inlineStr">
        <is>
          <t>AI辅助</t>
        </is>
      </c>
      <c r="K103" s="17" t="inlineStr">
        <is>
          <t>5.3.4</t>
        </is>
      </c>
      <c r="L103" s="15" t="inlineStr">
        <is>
          <t>未开始</t>
        </is>
      </c>
      <c r="M103" s="20" t="n">
        <v>0</v>
      </c>
      <c r="N103" s="15" t="inlineStr">
        <is>
          <t>高</t>
        </is>
      </c>
      <c r="O103" s="21" t="n"/>
      <c r="P103" s="21" t="n"/>
      <c r="Q103" s="17" t="inlineStr"/>
    </row>
    <row r="104">
      <c r="A104" s="15" t="inlineStr">
        <is>
          <t>5.3.6</t>
        </is>
      </c>
      <c r="B104" s="22" t="inlineStr">
        <is>
          <t>模块6审计走查（F06对照）</t>
        </is>
      </c>
      <c r="C104" s="15" t="n">
        <v>3</v>
      </c>
      <c r="D104" s="17" t="inlineStr">
        <is>
          <t>走查签字单</t>
        </is>
      </c>
      <c r="E104" s="15" t="inlineStr">
        <is>
          <t>Mandy</t>
        </is>
      </c>
      <c r="F104" s="45" t="n">
        <v>46329</v>
      </c>
      <c r="G104" s="45" t="n">
        <v>46329</v>
      </c>
      <c r="H104" s="15" t="n">
        <v>1</v>
      </c>
      <c r="I104" s="46" t="n">
        <v>1</v>
      </c>
      <c r="J104" s="17" t="inlineStr">
        <is>
          <t>人工主导</t>
        </is>
      </c>
      <c r="K104" s="17" t="inlineStr">
        <is>
          <t>5.1.3</t>
        </is>
      </c>
      <c r="L104" s="15" t="inlineStr">
        <is>
          <t>未开始</t>
        </is>
      </c>
      <c r="M104" s="20" t="n">
        <v>0</v>
      </c>
      <c r="N104" s="15" t="inlineStr">
        <is>
          <t>高</t>
        </is>
      </c>
      <c r="O104" s="21" t="n"/>
      <c r="P104" s="21" t="n"/>
      <c r="Q104" s="17" t="inlineStr"/>
    </row>
    <row r="105">
      <c r="A105" s="15" t="inlineStr">
        <is>
          <t>5.3.7</t>
        </is>
      </c>
      <c r="B105" s="22" t="inlineStr">
        <is>
          <t>用户手册初稿合稿与润色</t>
        </is>
      </c>
      <c r="C105" s="15" t="n">
        <v>3</v>
      </c>
      <c r="D105" s="17" t="inlineStr">
        <is>
          <t>用户手册初稿V0.9</t>
        </is>
      </c>
      <c r="E105" s="15" t="inlineStr">
        <is>
          <t>Mandy</t>
        </is>
      </c>
      <c r="F105" s="45" t="n">
        <v>46330</v>
      </c>
      <c r="G105" s="45" t="n">
        <v>46330</v>
      </c>
      <c r="H105" s="15" t="n">
        <v>1</v>
      </c>
      <c r="I105" s="46" t="n">
        <v>0.5</v>
      </c>
      <c r="J105" s="17" t="inlineStr">
        <is>
          <t>AI生成+人工审核</t>
        </is>
      </c>
      <c r="K105" s="17" t="inlineStr">
        <is>
          <t>5.3.5</t>
        </is>
      </c>
      <c r="L105" s="15" t="inlineStr">
        <is>
          <t>未开始</t>
        </is>
      </c>
      <c r="M105" s="20" t="n">
        <v>0</v>
      </c>
      <c r="N105" s="15" t="inlineStr">
        <is>
          <t>中</t>
        </is>
      </c>
      <c r="O105" s="21" t="n"/>
      <c r="P105" s="21" t="n"/>
      <c r="Q105" s="17" t="inlineStr"/>
    </row>
    <row r="106">
      <c r="A106" s="15" t="inlineStr">
        <is>
          <t>5.3.8</t>
        </is>
      </c>
      <c r="B106" s="22" t="inlineStr">
        <is>
          <t>缺陷复测+机动缓冲（走查补漏）</t>
        </is>
      </c>
      <c r="C106" s="15" t="n">
        <v>3</v>
      </c>
      <c r="D106" s="17" t="inlineStr">
        <is>
          <t>复测记录</t>
        </is>
      </c>
      <c r="E106" s="15" t="inlineStr">
        <is>
          <t>Mandy</t>
        </is>
      </c>
      <c r="F106" s="45" t="n">
        <v>46331</v>
      </c>
      <c r="G106" s="45" t="n">
        <v>46331</v>
      </c>
      <c r="H106" s="15" t="n">
        <v>1</v>
      </c>
      <c r="I106" s="46" t="n">
        <v>1</v>
      </c>
      <c r="J106" s="17" t="inlineStr">
        <is>
          <t>AI辅助</t>
        </is>
      </c>
      <c r="K106" s="17" t="inlineStr">
        <is>
          <t>5.3.6</t>
        </is>
      </c>
      <c r="L106" s="15" t="inlineStr">
        <is>
          <t>未开始</t>
        </is>
      </c>
      <c r="M106" s="20" t="n">
        <v>0</v>
      </c>
      <c r="N106" s="15" t="inlineStr">
        <is>
          <t>中</t>
        </is>
      </c>
      <c r="O106" s="21" t="n"/>
      <c r="P106" s="21" t="n"/>
      <c r="Q106" s="17" t="inlineStr"/>
    </row>
    <row r="107">
      <c r="A107" s="15" t="inlineStr">
        <is>
          <t>5.3.9</t>
        </is>
      </c>
      <c r="B107" s="22" t="inlineStr">
        <is>
          <t>模块3/4走查（F03/F04对照）</t>
        </is>
      </c>
      <c r="C107" s="15" t="n">
        <v>3</v>
      </c>
      <c r="D107" s="17" t="inlineStr">
        <is>
          <t>走查签字单</t>
        </is>
      </c>
      <c r="E107" s="15" t="inlineStr">
        <is>
          <t>Mandy</t>
        </is>
      </c>
      <c r="F107" s="45" t="n">
        <v>46332</v>
      </c>
      <c r="G107" s="45" t="n">
        <v>46332</v>
      </c>
      <c r="H107" s="15" t="n">
        <v>1</v>
      </c>
      <c r="I107" s="46" t="n">
        <v>1</v>
      </c>
      <c r="J107" s="17" t="inlineStr">
        <is>
          <t>人工主导</t>
        </is>
      </c>
      <c r="K107" s="17" t="inlineStr">
        <is>
          <t>5.2.7</t>
        </is>
      </c>
      <c r="L107" s="15" t="inlineStr">
        <is>
          <t>未开始</t>
        </is>
      </c>
      <c r="M107" s="20" t="n">
        <v>0</v>
      </c>
      <c r="N107" s="15" t="inlineStr">
        <is>
          <t>高</t>
        </is>
      </c>
      <c r="O107" s="21" t="n"/>
      <c r="P107" s="21" t="n"/>
      <c r="Q107" s="17" t="inlineStr"/>
    </row>
    <row r="108">
      <c r="A108" s="15" t="inlineStr">
        <is>
          <t>5.3.10</t>
        </is>
      </c>
      <c r="B108" s="22" t="inlineStr">
        <is>
          <t>操作手册初稿（AI反生成+人工润色）</t>
        </is>
      </c>
      <c r="C108" s="15" t="n">
        <v>3</v>
      </c>
      <c r="D108" s="17" t="inlineStr">
        <is>
          <t>操作手册初稿V0.9</t>
        </is>
      </c>
      <c r="E108" s="15" t="inlineStr">
        <is>
          <t>Mandy</t>
        </is>
      </c>
      <c r="F108" s="45" t="n">
        <v>46335</v>
      </c>
      <c r="G108" s="45" t="n">
        <v>46336</v>
      </c>
      <c r="H108" s="15" t="n">
        <v>2</v>
      </c>
      <c r="I108" s="46" t="n">
        <v>1</v>
      </c>
      <c r="J108" s="17" t="inlineStr">
        <is>
          <t>AI生成+人工审核</t>
        </is>
      </c>
      <c r="K108" s="17" t="inlineStr">
        <is>
          <t>5.3.7</t>
        </is>
      </c>
      <c r="L108" s="15" t="inlineStr">
        <is>
          <t>未开始</t>
        </is>
      </c>
      <c r="M108" s="20" t="n">
        <v>0</v>
      </c>
      <c r="N108" s="15" t="inlineStr">
        <is>
          <t>中</t>
        </is>
      </c>
      <c r="O108" s="21" t="n"/>
      <c r="P108" s="21" t="n"/>
      <c r="Q108" s="17" t="inlineStr"/>
    </row>
    <row r="109">
      <c r="A109" s="15" t="inlineStr">
        <is>
          <t>5.3.11</t>
        </is>
      </c>
      <c r="B109" s="22" t="inlineStr">
        <is>
          <t>26项功能完整性核对（追踪矩阵逐项）</t>
        </is>
      </c>
      <c r="C109" s="15" t="n">
        <v>3</v>
      </c>
      <c r="D109" s="17" t="inlineStr">
        <is>
          <t>追踪矩阵核对版</t>
        </is>
      </c>
      <c r="E109" s="15" t="inlineStr">
        <is>
          <t>Mandy</t>
        </is>
      </c>
      <c r="F109" s="45" t="n">
        <v>46337</v>
      </c>
      <c r="G109" s="45" t="n">
        <v>46337</v>
      </c>
      <c r="H109" s="15" t="n">
        <v>1</v>
      </c>
      <c r="I109" s="46" t="n">
        <v>1</v>
      </c>
      <c r="J109" s="17" t="inlineStr">
        <is>
          <t>AI辅助</t>
        </is>
      </c>
      <c r="K109" s="17" t="inlineStr">
        <is>
          <t>5.3.9</t>
        </is>
      </c>
      <c r="L109" s="15" t="inlineStr">
        <is>
          <t>未开始</t>
        </is>
      </c>
      <c r="M109" s="20" t="n">
        <v>0</v>
      </c>
      <c r="N109" s="15" t="inlineStr">
        <is>
          <t>高</t>
        </is>
      </c>
      <c r="O109" s="21" t="n"/>
      <c r="P109" s="21" t="n"/>
      <c r="Q109" s="17" t="inlineStr">
        <is>
          <t>AI比对代码与矩阵，人工确认</t>
        </is>
      </c>
    </row>
    <row r="110">
      <c r="A110" s="15" t="inlineStr">
        <is>
          <t>5.3.12</t>
        </is>
      </c>
      <c r="B110" s="22" t="inlineStr">
        <is>
          <t>UAT脚本编写启动（以CC真实场景）</t>
        </is>
      </c>
      <c r="C110" s="15" t="n">
        <v>3</v>
      </c>
      <c r="D110" s="17" t="inlineStr">
        <is>
          <t>UAT脚本草稿</t>
        </is>
      </c>
      <c r="E110" s="15" t="inlineStr">
        <is>
          <t>Mandy</t>
        </is>
      </c>
      <c r="F110" s="45" t="n">
        <v>46338</v>
      </c>
      <c r="G110" s="45" t="n">
        <v>46338</v>
      </c>
      <c r="H110" s="15" t="n">
        <v>1</v>
      </c>
      <c r="I110" s="46" t="n">
        <v>1</v>
      </c>
      <c r="J110" s="17" t="inlineStr">
        <is>
          <t>AI辅助</t>
        </is>
      </c>
      <c r="K110" s="17" t="inlineStr">
        <is>
          <t>5.3.11</t>
        </is>
      </c>
      <c r="L110" s="15" t="inlineStr">
        <is>
          <t>未开始</t>
        </is>
      </c>
      <c r="M110" s="20" t="n">
        <v>0</v>
      </c>
      <c r="N110" s="15" t="inlineStr">
        <is>
          <t>高</t>
        </is>
      </c>
      <c r="O110" s="21" t="n"/>
      <c r="P110" s="21" t="n"/>
      <c r="Q110" s="17" t="inlineStr"/>
    </row>
    <row r="111">
      <c r="A111" s="15" t="inlineStr">
        <is>
          <t>5.3.13</t>
        </is>
      </c>
      <c r="B111" s="22" t="inlineStr">
        <is>
          <t>机动缓冲（手册评审准备/走查补漏/缺陷复测）</t>
        </is>
      </c>
      <c r="C111" s="15" t="n">
        <v>3</v>
      </c>
      <c r="D111" s="17" t="inlineStr">
        <is>
          <t>—</t>
        </is>
      </c>
      <c r="E111" s="15" t="inlineStr">
        <is>
          <t>Mandy</t>
        </is>
      </c>
      <c r="F111" s="45" t="n">
        <v>46336</v>
      </c>
      <c r="G111" s="45" t="n">
        <v>46339</v>
      </c>
      <c r="H111" s="15" t="n">
        <v>4</v>
      </c>
      <c r="I111" s="46" t="n">
        <v>0.5</v>
      </c>
      <c r="J111" s="17" t="inlineStr"/>
      <c r="K111" s="17" t="inlineStr">
        <is>
          <t>5.3.10</t>
        </is>
      </c>
      <c r="L111" s="15" t="inlineStr">
        <is>
          <t>未开始</t>
        </is>
      </c>
      <c r="M111" s="20" t="n">
        <v>0</v>
      </c>
      <c r="N111" s="15" t="inlineStr">
        <is>
          <t>中</t>
        </is>
      </c>
      <c r="O111" s="21" t="n"/>
      <c r="P111" s="21" t="n"/>
      <c r="Q111" s="17" t="inlineStr">
        <is>
          <t>分散为两个半天（D36下午/D39下午）</t>
        </is>
      </c>
    </row>
    <row r="112">
      <c r="A112" s="15" t="inlineStr">
        <is>
          <t>5.4</t>
        </is>
      </c>
      <c r="B112" s="16" t="inlineStr">
        <is>
          <t>AI Native质量治理（贯穿开发期）</t>
        </is>
      </c>
      <c r="C112" s="15" t="n">
        <v>2</v>
      </c>
      <c r="D112" s="17" t="inlineStr">
        <is>
          <t>外部评审记录、M4签字</t>
        </is>
      </c>
      <c r="E112" s="15" t="inlineStr">
        <is>
          <t>Wade/Mandy</t>
        </is>
      </c>
      <c r="F112" s="45" t="n">
        <v>46321</v>
      </c>
      <c r="G112" s="45" t="n">
        <v>46339</v>
      </c>
      <c r="H112" s="15" t="n">
        <v>15</v>
      </c>
      <c r="I112" s="46">
        <f>ROUND(SUMPRODUCT(($C$113:$C$114=3)*(LEFT($A$113:$A$114,LEN(A112))=A112)*$I$113:$I$114),2)</f>
        <v/>
      </c>
      <c r="J112" s="17" t="inlineStr"/>
      <c r="K112" s="17" t="inlineStr"/>
      <c r="L112" s="15" t="inlineStr">
        <is>
          <t>未开始</t>
        </is>
      </c>
      <c r="M112" s="20" t="n">
        <v>0</v>
      </c>
      <c r="N112" s="15" t="inlineStr">
        <is>
          <t>高</t>
        </is>
      </c>
      <c r="O112" s="21" t="n"/>
      <c r="P112" s="21" t="n"/>
      <c r="Q112" s="17" t="inlineStr">
        <is>
          <t>每周五下午0.5天技术债已摊入5.1.6/5.2.11等</t>
        </is>
      </c>
    </row>
    <row r="113">
      <c r="A113" s="15" t="inlineStr">
        <is>
          <t>5.4.1</t>
        </is>
      </c>
      <c r="B113" s="22" t="inlineStr">
        <is>
          <t>外部关键模块评审#2（RBAC/掩码/加密/处置引擎，P2末）</t>
        </is>
      </c>
      <c r="C113" s="15" t="n">
        <v>3</v>
      </c>
      <c r="D113" s="17" t="inlineStr">
        <is>
          <t>评审记录、行动项</t>
        </is>
      </c>
      <c r="E113" s="15" t="inlineStr">
        <is>
          <t>Wade</t>
        </is>
      </c>
      <c r="F113" s="45" t="n">
        <v>46337</v>
      </c>
      <c r="G113" s="45" t="n">
        <v>46337</v>
      </c>
      <c r="H113" s="15" t="n">
        <v>1</v>
      </c>
      <c r="I113" s="46" t="n">
        <v>0.5</v>
      </c>
      <c r="J113" s="17" t="inlineStr">
        <is>
          <t>人工主导</t>
        </is>
      </c>
      <c r="K113" s="17" t="inlineStr">
        <is>
          <t>5.2.6</t>
        </is>
      </c>
      <c r="L113" s="15" t="inlineStr">
        <is>
          <t>未开始</t>
        </is>
      </c>
      <c r="M113" s="20" t="n">
        <v>0</v>
      </c>
      <c r="N113" s="15" t="inlineStr">
        <is>
          <t>高</t>
        </is>
      </c>
      <c r="O113" s="21" t="n"/>
      <c r="P113" s="21" t="n"/>
      <c r="Q113" s="17" t="inlineStr">
        <is>
          <t>风险缓解B：外部评审人每两周4h</t>
        </is>
      </c>
    </row>
    <row r="114">
      <c r="A114" s="23" t="inlineStr">
        <is>
          <t>5.4.2</t>
        </is>
      </c>
      <c r="B114" s="24" t="inlineStr">
        <is>
          <t>26项功能编码完成+走查全签字◆M4</t>
        </is>
      </c>
      <c r="C114" s="23" t="n">
        <v>3</v>
      </c>
      <c r="D114" s="25" t="inlineStr">
        <is>
          <t>M4签字（追踪矩阵26/26）</t>
        </is>
      </c>
      <c r="E114" s="23" t="inlineStr">
        <is>
          <t>Mandy</t>
        </is>
      </c>
      <c r="F114" s="47" t="n">
        <v>46339</v>
      </c>
      <c r="G114" s="47" t="n">
        <v>46339</v>
      </c>
      <c r="H114" s="23" t="n">
        <v>1</v>
      </c>
      <c r="I114" s="48" t="n">
        <v>0.5</v>
      </c>
      <c r="J114" s="25" t="inlineStr">
        <is>
          <t>人工主导</t>
        </is>
      </c>
      <c r="K114" s="25" t="inlineStr">
        <is>
          <t>5.1.9;5.2.11;5.3.11</t>
        </is>
      </c>
      <c r="L114" s="23" t="inlineStr">
        <is>
          <t>未开始</t>
        </is>
      </c>
      <c r="M114" s="28" t="n">
        <v>0</v>
      </c>
      <c r="N114" s="23" t="inlineStr">
        <is>
          <t>高</t>
        </is>
      </c>
      <c r="O114" s="29" t="n"/>
      <c r="P114" s="29" t="n"/>
      <c r="Q114" s="25" t="inlineStr">
        <is>
          <t>★M4 11/13</t>
        </is>
      </c>
    </row>
    <row r="115">
      <c r="A115" s="8" t="inlineStr">
        <is>
          <t>6</t>
        </is>
      </c>
      <c r="B115" s="9" t="inlineStr">
        <is>
          <t>开发三：系统集成与CC真实数据验证</t>
        </is>
      </c>
      <c r="C115" s="8" t="n">
        <v>1</v>
      </c>
      <c r="D115" s="10" t="inlineStr">
        <is>
          <t>全链路集成+CC迁移演练对账+代码冻结</t>
        </is>
      </c>
      <c r="E115" s="8" t="inlineStr">
        <is>
          <t>Wade/DevB/Mandy</t>
        </is>
      </c>
      <c r="F115" s="43" t="n">
        <v>46342</v>
      </c>
      <c r="G115" s="43" t="n">
        <v>46357</v>
      </c>
      <c r="H115" s="8" t="n">
        <v>12</v>
      </c>
      <c r="I115" s="44">
        <f>ROUND(SUMPRODUCT(($C$116:$C$135=3)*(LEFT($A$116:$A$135,LEN(A115))=A115)*$I$116:$I$135),2)</f>
        <v/>
      </c>
      <c r="J115" s="10" t="inlineStr"/>
      <c r="K115" s="10" t="inlineStr"/>
      <c r="L115" s="8" t="inlineStr">
        <is>
          <t>未开始</t>
        </is>
      </c>
      <c r="M115" s="13" t="n">
        <v>0</v>
      </c>
      <c r="N115" s="8" t="inlineStr">
        <is>
          <t>高</t>
        </is>
      </c>
      <c r="O115" s="14" t="n"/>
      <c r="P115" s="14" t="n"/>
      <c r="Q115" s="10" t="inlineStr">
        <is>
          <t>11/16~12/1；M5=12/1</t>
        </is>
      </c>
    </row>
    <row r="116">
      <c r="A116" s="15" t="inlineStr">
        <is>
          <t>6.1</t>
        </is>
      </c>
      <c r="B116" s="16" t="inlineStr">
        <is>
          <t>全链路集成与发布就绪（Wade）</t>
        </is>
      </c>
      <c r="C116" s="15" t="n">
        <v>2</v>
      </c>
      <c r="D116" s="17" t="inlineStr">
        <is>
          <t>集成验证、发布包、M5·A侧</t>
        </is>
      </c>
      <c r="E116" s="15" t="inlineStr">
        <is>
          <t>Wade</t>
        </is>
      </c>
      <c r="F116" s="45" t="n">
        <v>46342</v>
      </c>
      <c r="G116" s="45" t="n">
        <v>46357</v>
      </c>
      <c r="H116" s="15" t="n">
        <v>12</v>
      </c>
      <c r="I116" s="46">
        <f>ROUND(SUMPRODUCT(($C$117:$C$122=3)*(LEFT($A$117:$A$122,LEN(A116))=A116)*$I$117:$I$122),2)</f>
        <v/>
      </c>
      <c r="J116" s="17" t="inlineStr"/>
      <c r="K116" s="17" t="inlineStr"/>
      <c r="L116" s="15" t="inlineStr">
        <is>
          <t>未开始</t>
        </is>
      </c>
      <c r="M116" s="20" t="n">
        <v>0</v>
      </c>
      <c r="N116" s="15" t="inlineStr">
        <is>
          <t>高</t>
        </is>
      </c>
      <c r="O116" s="21" t="n"/>
      <c r="P116" s="21" t="n"/>
      <c r="Q116" s="17" t="inlineStr"/>
    </row>
    <row r="117">
      <c r="A117" s="15" t="inlineStr">
        <is>
          <t>6.1.1</t>
        </is>
      </c>
      <c r="B117" s="22" t="inlineStr">
        <is>
          <t>全链路集成联调（CC真实数据：登录→检索→预览→导出→审计）</t>
        </is>
      </c>
      <c r="C117" s="15" t="n">
        <v>3</v>
      </c>
      <c r="D117" s="17" t="inlineStr">
        <is>
          <t>集成测试记录</t>
        </is>
      </c>
      <c r="E117" s="15" t="inlineStr">
        <is>
          <t>Wade</t>
        </is>
      </c>
      <c r="F117" s="45" t="n">
        <v>46342</v>
      </c>
      <c r="G117" s="45" t="n">
        <v>46343</v>
      </c>
      <c r="H117" s="15" t="n">
        <v>2</v>
      </c>
      <c r="I117" s="46" t="n">
        <v>2</v>
      </c>
      <c r="J117" s="17" t="inlineStr">
        <is>
          <t>人工主导</t>
        </is>
      </c>
      <c r="K117" s="17" t="inlineStr">
        <is>
          <t>5.4.2</t>
        </is>
      </c>
      <c r="L117" s="15" t="inlineStr">
        <is>
          <t>未开始</t>
        </is>
      </c>
      <c r="M117" s="20" t="n">
        <v>0</v>
      </c>
      <c r="N117" s="15" t="inlineStr">
        <is>
          <t>高</t>
        </is>
      </c>
      <c r="O117" s="21" t="n"/>
      <c r="P117" s="21" t="n"/>
      <c r="Q117" s="17" t="inlineStr">
        <is>
          <t>外部依赖：CC只读账号可用</t>
        </is>
      </c>
    </row>
    <row r="118">
      <c r="A118" s="15" t="inlineStr">
        <is>
          <t>6.1.2</t>
        </is>
      </c>
      <c r="B118" s="22" t="inlineStr">
        <is>
          <t>CC数据界面适配（字段类型/格式差异，F05检索/预览真实数据兼容）</t>
        </is>
      </c>
      <c r="C118" s="15" t="n">
        <v>3</v>
      </c>
      <c r="D118" s="17" t="inlineStr">
        <is>
          <t>适配补丁</t>
        </is>
      </c>
      <c r="E118" s="15" t="inlineStr">
        <is>
          <t>Wade</t>
        </is>
      </c>
      <c r="F118" s="45" t="n">
        <v>46344</v>
      </c>
      <c r="G118" s="45" t="n">
        <v>46346</v>
      </c>
      <c r="H118" s="15" t="n">
        <v>3</v>
      </c>
      <c r="I118" s="46" t="n">
        <v>3</v>
      </c>
      <c r="J118" s="17" t="inlineStr">
        <is>
          <t>AI生成+人工审核</t>
        </is>
      </c>
      <c r="K118" s="17" t="inlineStr">
        <is>
          <t>6.1.1</t>
        </is>
      </c>
      <c r="L118" s="15" t="inlineStr">
        <is>
          <t>未开始</t>
        </is>
      </c>
      <c r="M118" s="20" t="n">
        <v>0</v>
      </c>
      <c r="N118" s="15" t="inlineStr">
        <is>
          <t>高</t>
        </is>
      </c>
      <c r="O118" s="21" t="n"/>
      <c r="P118" s="21" t="n"/>
      <c r="Q118" s="17" t="inlineStr"/>
    </row>
    <row r="119">
      <c r="A119" s="15" t="inlineStr">
        <is>
          <t>6.1.3</t>
        </is>
      </c>
      <c r="B119" s="22" t="inlineStr">
        <is>
          <t>前端缺陷修复轮1</t>
        </is>
      </c>
      <c r="C119" s="15" t="n">
        <v>3</v>
      </c>
      <c r="D119" s="17" t="inlineStr">
        <is>
          <t>缺陷修复记录</t>
        </is>
      </c>
      <c r="E119" s="15" t="inlineStr">
        <is>
          <t>Wade</t>
        </is>
      </c>
      <c r="F119" s="45" t="n">
        <v>46349</v>
      </c>
      <c r="G119" s="45" t="n">
        <v>46349</v>
      </c>
      <c r="H119" s="15" t="n">
        <v>1</v>
      </c>
      <c r="I119" s="46" t="n">
        <v>1</v>
      </c>
      <c r="J119" s="17" t="inlineStr">
        <is>
          <t>AI辅助</t>
        </is>
      </c>
      <c r="K119" s="17" t="inlineStr">
        <is>
          <t>6.1.2</t>
        </is>
      </c>
      <c r="L119" s="15" t="inlineStr">
        <is>
          <t>未开始</t>
        </is>
      </c>
      <c r="M119" s="20" t="n">
        <v>0</v>
      </c>
      <c r="N119" s="15" t="inlineStr">
        <is>
          <t>高</t>
        </is>
      </c>
      <c r="O119" s="21" t="n"/>
      <c r="P119" s="21" t="n"/>
      <c r="Q119" s="17" t="inlineStr"/>
    </row>
    <row r="120">
      <c r="A120" s="15" t="inlineStr">
        <is>
          <t>6.1.4</t>
        </is>
      </c>
      <c r="B120" s="22" t="inlineStr">
        <is>
          <t>缺陷修复收敛（前端P0/P1清零）</t>
        </is>
      </c>
      <c r="C120" s="15" t="n">
        <v>3</v>
      </c>
      <c r="D120" s="17" t="inlineStr">
        <is>
          <t>缺陷清单（清零）</t>
        </is>
      </c>
      <c r="E120" s="15" t="inlineStr">
        <is>
          <t>Wade</t>
        </is>
      </c>
      <c r="F120" s="45" t="n">
        <v>46350</v>
      </c>
      <c r="G120" s="45" t="n">
        <v>46351</v>
      </c>
      <c r="H120" s="15" t="n">
        <v>2</v>
      </c>
      <c r="I120" s="46" t="n">
        <v>2</v>
      </c>
      <c r="J120" s="17" t="inlineStr">
        <is>
          <t>AI辅助</t>
        </is>
      </c>
      <c r="K120" s="17" t="inlineStr">
        <is>
          <t>6.1.3</t>
        </is>
      </c>
      <c r="L120" s="15" t="inlineStr">
        <is>
          <t>未开始</t>
        </is>
      </c>
      <c r="M120" s="20" t="n">
        <v>0</v>
      </c>
      <c r="N120" s="15" t="inlineStr">
        <is>
          <t>高</t>
        </is>
      </c>
      <c r="O120" s="21" t="n"/>
      <c r="P120" s="21" t="n"/>
      <c r="Q120" s="17" t="inlineStr"/>
    </row>
    <row r="121">
      <c r="A121" s="15" t="inlineStr">
        <is>
          <t>6.1.5</t>
        </is>
      </c>
      <c r="B121" s="22" t="inlineStr">
        <is>
          <t>上线发布包（K8s发布清单+生产部署流水线+部署Runbook）</t>
        </is>
      </c>
      <c r="C121" s="15" t="n">
        <v>3</v>
      </c>
      <c r="D121" s="17" t="inlineStr">
        <is>
          <t>发布包、Runbook</t>
        </is>
      </c>
      <c r="E121" s="15" t="inlineStr">
        <is>
          <t>Wade</t>
        </is>
      </c>
      <c r="F121" s="45" t="n">
        <v>46352</v>
      </c>
      <c r="G121" s="45" t="n">
        <v>46353</v>
      </c>
      <c r="H121" s="15" t="n">
        <v>2</v>
      </c>
      <c r="I121" s="46" t="n">
        <v>2</v>
      </c>
      <c r="J121" s="17" t="inlineStr">
        <is>
          <t>AI辅助</t>
        </is>
      </c>
      <c r="K121" s="17" t="inlineStr">
        <is>
          <t>6.1.4</t>
        </is>
      </c>
      <c r="L121" s="15" t="inlineStr">
        <is>
          <t>未开始</t>
        </is>
      </c>
      <c r="M121" s="20" t="n">
        <v>0</v>
      </c>
      <c r="N121" s="15" t="inlineStr">
        <is>
          <t>高</t>
        </is>
      </c>
      <c r="O121" s="21" t="n"/>
      <c r="P121" s="21" t="n"/>
      <c r="Q121" s="17" t="inlineStr"/>
    </row>
    <row r="122">
      <c r="A122" s="23" t="inlineStr">
        <is>
          <t>6.1.6</t>
        </is>
      </c>
      <c r="B122" s="24" t="inlineStr">
        <is>
          <t>代码冻结+发布就绪评审◆（M5·A侧）</t>
        </is>
      </c>
      <c r="C122" s="23" t="n">
        <v>3</v>
      </c>
      <c r="D122" s="25" t="inlineStr">
        <is>
          <t>冻结基线</t>
        </is>
      </c>
      <c r="E122" s="23" t="inlineStr">
        <is>
          <t>Wade</t>
        </is>
      </c>
      <c r="F122" s="47" t="n">
        <v>46357</v>
      </c>
      <c r="G122" s="47" t="n">
        <v>46357</v>
      </c>
      <c r="H122" s="23" t="n">
        <v>1</v>
      </c>
      <c r="I122" s="48" t="n">
        <v>1</v>
      </c>
      <c r="J122" s="25" t="inlineStr">
        <is>
          <t>人工主导</t>
        </is>
      </c>
      <c r="K122" s="25" t="inlineStr">
        <is>
          <t>6.1.5</t>
        </is>
      </c>
      <c r="L122" s="23" t="inlineStr">
        <is>
          <t>未开始</t>
        </is>
      </c>
      <c r="M122" s="28" t="n">
        <v>0</v>
      </c>
      <c r="N122" s="23" t="inlineStr">
        <is>
          <t>高</t>
        </is>
      </c>
      <c r="O122" s="29" t="n"/>
      <c r="P122" s="29" t="n"/>
      <c r="Q122" s="25" t="inlineStr">
        <is>
          <t>★M5 12/1（与6.2.6同日达成）</t>
        </is>
      </c>
    </row>
    <row r="123">
      <c r="A123" s="15" t="inlineStr">
        <is>
          <t>6.2</t>
        </is>
      </c>
      <c r="B123" s="16" t="inlineStr">
        <is>
          <t>CC迁移演练与数据收敛（DevB·关键路径）</t>
        </is>
      </c>
      <c r="C123" s="15" t="n">
        <v>2</v>
      </c>
      <c r="D123" s="17" t="inlineStr">
        <is>
          <t>迁移演练、全量对账报告、M5·B侧</t>
        </is>
      </c>
      <c r="E123" s="15" t="inlineStr">
        <is>
          <t>DevB</t>
        </is>
      </c>
      <c r="F123" s="45" t="n">
        <v>46342</v>
      </c>
      <c r="G123" s="45" t="n">
        <v>46357</v>
      </c>
      <c r="H123" s="15" t="n">
        <v>12</v>
      </c>
      <c r="I123" s="46">
        <f>ROUND(SUMPRODUCT(($C$124:$C$129=3)*(LEFT($A$124:$A$129,LEN(A123))=A123)*$I$124:$I$129),2)</f>
        <v/>
      </c>
      <c r="J123" s="17" t="inlineStr"/>
      <c r="K123" s="17" t="inlineStr"/>
      <c r="L123" s="15" t="inlineStr">
        <is>
          <t>未开始</t>
        </is>
      </c>
      <c r="M123" s="20" t="n">
        <v>0</v>
      </c>
      <c r="N123" s="15" t="inlineStr">
        <is>
          <t>高</t>
        </is>
      </c>
      <c r="O123" s="21" t="n"/>
      <c r="P123" s="21" t="n"/>
      <c r="Q123" s="17" t="inlineStr"/>
    </row>
    <row r="124">
      <c r="A124" s="15" t="inlineStr">
        <is>
          <t>6.2.1</t>
        </is>
      </c>
      <c r="B124" s="22" t="inlineStr">
        <is>
          <t>CC真实数据迁移演练I：1253表扫描分类→600~800有效表分批迁移启动</t>
        </is>
      </c>
      <c r="C124" s="15" t="n">
        <v>3</v>
      </c>
      <c r="D124" s="17" t="inlineStr">
        <is>
          <t>扫描分类清单、迁移批次计划</t>
        </is>
      </c>
      <c r="E124" s="15" t="inlineStr">
        <is>
          <t>DevB</t>
        </is>
      </c>
      <c r="F124" s="45" t="n">
        <v>46342</v>
      </c>
      <c r="G124" s="45" t="n">
        <v>46345</v>
      </c>
      <c r="H124" s="15" t="n">
        <v>4</v>
      </c>
      <c r="I124" s="46" t="n">
        <v>3.5</v>
      </c>
      <c r="J124" s="17" t="inlineStr">
        <is>
          <t>自动化流水线</t>
        </is>
      </c>
      <c r="K124" s="17" t="inlineStr">
        <is>
          <t>3.2.3;5.4.2</t>
        </is>
      </c>
      <c r="L124" s="15" t="inlineStr">
        <is>
          <t>未开始</t>
        </is>
      </c>
      <c r="M124" s="20" t="n">
        <v>0</v>
      </c>
      <c r="N124" s="15" t="inlineStr">
        <is>
          <t>高</t>
        </is>
      </c>
      <c r="O124" s="21" t="n"/>
      <c r="P124" s="21" t="n"/>
      <c r="Q124" s="17" t="inlineStr">
        <is>
          <t>F01全链路实战；作业AI生成+人工监控</t>
        </is>
      </c>
    </row>
    <row r="125">
      <c r="A125" s="15" t="inlineStr">
        <is>
          <t>6.2.2</t>
        </is>
      </c>
      <c r="B125" s="22" t="inlineStr">
        <is>
          <t>迁移演练II：逐批对账+数据问题处理（SQL Server特有类型/脏数据/小文件合并）</t>
        </is>
      </c>
      <c r="C125" s="15" t="n">
        <v>3</v>
      </c>
      <c r="D125" s="17" t="inlineStr">
        <is>
          <t>对账记录、数据处理经验清单</t>
        </is>
      </c>
      <c r="E125" s="15" t="inlineStr">
        <is>
          <t>DevB</t>
        </is>
      </c>
      <c r="F125" s="45" t="n">
        <v>46346</v>
      </c>
      <c r="G125" s="45" t="n">
        <v>46350</v>
      </c>
      <c r="H125" s="15" t="n">
        <v>3</v>
      </c>
      <c r="I125" s="46" t="n">
        <v>2.5</v>
      </c>
      <c r="J125" s="17" t="inlineStr">
        <is>
          <t>AI辅助</t>
        </is>
      </c>
      <c r="K125" s="17" t="inlineStr">
        <is>
          <t>6.2.1</t>
        </is>
      </c>
      <c r="L125" s="15" t="inlineStr">
        <is>
          <t>未开始</t>
        </is>
      </c>
      <c r="M125" s="20" t="n">
        <v>0</v>
      </c>
      <c r="N125" s="15" t="inlineStr">
        <is>
          <t>高</t>
        </is>
      </c>
      <c r="O125" s="21" t="n"/>
      <c r="P125" s="21" t="n"/>
      <c r="Q125" s="17" t="inlineStr"/>
    </row>
    <row r="126">
      <c r="A126" s="15" t="inlineStr">
        <is>
          <t>6.2.3</t>
        </is>
      </c>
      <c r="B126" s="22" t="inlineStr">
        <is>
          <t>CC全量对账报告（四层行数与字节+差异处理记录）</t>
        </is>
      </c>
      <c r="C126" s="15" t="n">
        <v>3</v>
      </c>
      <c r="D126" s="17" t="inlineStr">
        <is>
          <t>全量对账报告</t>
        </is>
      </c>
      <c r="E126" s="15" t="inlineStr">
        <is>
          <t>DevB</t>
        </is>
      </c>
      <c r="F126" s="45" t="n">
        <v>46351</v>
      </c>
      <c r="G126" s="45" t="n">
        <v>46351</v>
      </c>
      <c r="H126" s="15" t="n">
        <v>1</v>
      </c>
      <c r="I126" s="46" t="n">
        <v>1</v>
      </c>
      <c r="J126" s="17" t="inlineStr">
        <is>
          <t>AI辅助</t>
        </is>
      </c>
      <c r="K126" s="17" t="inlineStr">
        <is>
          <t>6.2.2</t>
        </is>
      </c>
      <c r="L126" s="15" t="inlineStr">
        <is>
          <t>未开始</t>
        </is>
      </c>
      <c r="M126" s="20" t="n">
        <v>0</v>
      </c>
      <c r="N126" s="15" t="inlineStr">
        <is>
          <t>高</t>
        </is>
      </c>
      <c r="O126" s="21" t="n"/>
      <c r="P126" s="21" t="n"/>
      <c r="Q126" s="17" t="inlineStr">
        <is>
          <t>AI生成报告初稿</t>
        </is>
      </c>
    </row>
    <row r="127">
      <c r="A127" s="15" t="inlineStr">
        <is>
          <t>6.2.4</t>
        </is>
      </c>
      <c r="B127" s="22" t="inlineStr">
        <is>
          <t>数据/服务缺陷修复收敛（P0/P1清零）</t>
        </is>
      </c>
      <c r="C127" s="15" t="n">
        <v>3</v>
      </c>
      <c r="D127" s="17" t="inlineStr">
        <is>
          <t>缺陷清单（清零）</t>
        </is>
      </c>
      <c r="E127" s="15" t="inlineStr">
        <is>
          <t>DevB</t>
        </is>
      </c>
      <c r="F127" s="45" t="n">
        <v>46352</v>
      </c>
      <c r="G127" s="45" t="n">
        <v>46353</v>
      </c>
      <c r="H127" s="15" t="n">
        <v>2</v>
      </c>
      <c r="I127" s="46" t="n">
        <v>2</v>
      </c>
      <c r="J127" s="17" t="inlineStr">
        <is>
          <t>AI辅助</t>
        </is>
      </c>
      <c r="K127" s="17" t="inlineStr">
        <is>
          <t>6.2.2</t>
        </is>
      </c>
      <c r="L127" s="15" t="inlineStr">
        <is>
          <t>未开始</t>
        </is>
      </c>
      <c r="M127" s="20" t="n">
        <v>0</v>
      </c>
      <c r="N127" s="15" t="inlineStr">
        <is>
          <t>高</t>
        </is>
      </c>
      <c r="O127" s="21" t="n"/>
      <c r="P127" s="21" t="n"/>
      <c r="Q127" s="17" t="inlineStr"/>
    </row>
    <row r="128">
      <c r="A128" s="15" t="inlineStr">
        <is>
          <t>6.2.5</t>
        </is>
      </c>
      <c r="B128" s="22" t="inlineStr">
        <is>
          <t>CC生产迁移预跑方案+迁移Runbook定稿</t>
        </is>
      </c>
      <c r="C128" s="15" t="n">
        <v>3</v>
      </c>
      <c r="D128" s="17" t="inlineStr">
        <is>
          <t>迁移Runbook</t>
        </is>
      </c>
      <c r="E128" s="15" t="inlineStr">
        <is>
          <t>DevB</t>
        </is>
      </c>
      <c r="F128" s="45" t="n">
        <v>46356</v>
      </c>
      <c r="G128" s="45" t="n">
        <v>46356</v>
      </c>
      <c r="H128" s="15" t="n">
        <v>1</v>
      </c>
      <c r="I128" s="46" t="n">
        <v>1</v>
      </c>
      <c r="J128" s="17" t="inlineStr">
        <is>
          <t>AI辅助</t>
        </is>
      </c>
      <c r="K128" s="17" t="inlineStr">
        <is>
          <t>6.2.3</t>
        </is>
      </c>
      <c r="L128" s="15" t="inlineStr">
        <is>
          <t>未开始</t>
        </is>
      </c>
      <c r="M128" s="20" t="n">
        <v>0</v>
      </c>
      <c r="N128" s="15" t="inlineStr">
        <is>
          <t>高</t>
        </is>
      </c>
      <c r="O128" s="21" t="n"/>
      <c r="P128" s="21" t="n"/>
      <c r="Q128" s="17" t="inlineStr"/>
    </row>
    <row r="129">
      <c r="A129" s="23" t="inlineStr">
        <is>
          <t>6.2.6</t>
        </is>
      </c>
      <c r="B129" s="24" t="inlineStr">
        <is>
          <t>CC迁移演练对账通过◆（M5·B侧）</t>
        </is>
      </c>
      <c r="C129" s="23" t="n">
        <v>3</v>
      </c>
      <c r="D129" s="25" t="inlineStr">
        <is>
          <t>对账签字（行数/校验和100%）</t>
        </is>
      </c>
      <c r="E129" s="23" t="inlineStr">
        <is>
          <t>DevB</t>
        </is>
      </c>
      <c r="F129" s="47" t="n">
        <v>46357</v>
      </c>
      <c r="G129" s="47" t="n">
        <v>46357</v>
      </c>
      <c r="H129" s="23" t="n">
        <v>1</v>
      </c>
      <c r="I129" s="48" t="n">
        <v>1</v>
      </c>
      <c r="J129" s="25" t="inlineStr">
        <is>
          <t>人工主导</t>
        </is>
      </c>
      <c r="K129" s="25" t="inlineStr">
        <is>
          <t>6.2.5</t>
        </is>
      </c>
      <c r="L129" s="23" t="inlineStr">
        <is>
          <t>未开始</t>
        </is>
      </c>
      <c r="M129" s="28" t="n">
        <v>0</v>
      </c>
      <c r="N129" s="23" t="inlineStr">
        <is>
          <t>高</t>
        </is>
      </c>
      <c r="O129" s="29" t="n"/>
      <c r="P129" s="29" t="n"/>
      <c r="Q129" s="25" t="inlineStr">
        <is>
          <t>★M5 12/1</t>
        </is>
      </c>
    </row>
    <row r="130">
      <c r="A130" s="15" t="inlineStr">
        <is>
          <t>6.3</t>
        </is>
      </c>
      <c r="B130" s="16" t="inlineStr">
        <is>
          <t>系统测试轮1与UAT准备（Mandy）</t>
        </is>
      </c>
      <c r="C130" s="15" t="n">
        <v>2</v>
      </c>
      <c r="D130" s="17" t="inlineStr">
        <is>
          <t>轮1报告、UAT脚本定稿、手册评审</t>
        </is>
      </c>
      <c r="E130" s="15" t="inlineStr">
        <is>
          <t>Mandy</t>
        </is>
      </c>
      <c r="F130" s="45" t="n">
        <v>46342</v>
      </c>
      <c r="G130" s="45" t="n">
        <v>46353</v>
      </c>
      <c r="H130" s="15" t="n">
        <v>10</v>
      </c>
      <c r="I130" s="46">
        <f>ROUND(SUMPRODUCT(($C$131:$C$135=3)*(LEFT($A$131:$A$135,LEN(A130))=A130)*$I$131:$I$135),2)</f>
        <v/>
      </c>
      <c r="J130" s="17" t="inlineStr"/>
      <c r="K130" s="17" t="inlineStr"/>
      <c r="L130" s="15" t="inlineStr">
        <is>
          <t>未开始</t>
        </is>
      </c>
      <c r="M130" s="20" t="n">
        <v>0</v>
      </c>
      <c r="N130" s="15" t="inlineStr">
        <is>
          <t>高</t>
        </is>
      </c>
      <c r="O130" s="21" t="n"/>
      <c r="P130" s="21" t="n"/>
      <c r="Q130" s="17" t="inlineStr"/>
    </row>
    <row r="131">
      <c r="A131" s="15" t="inlineStr">
        <is>
          <t>6.3.1</t>
        </is>
      </c>
      <c r="B131" s="22" t="inlineStr">
        <is>
          <t>UAT脚本初稿（CC真实场景）</t>
        </is>
      </c>
      <c r="C131" s="15" t="n">
        <v>3</v>
      </c>
      <c r="D131" s="17" t="inlineStr">
        <is>
          <t>UAT脚本V0.9</t>
        </is>
      </c>
      <c r="E131" s="15" t="inlineStr">
        <is>
          <t>Mandy</t>
        </is>
      </c>
      <c r="F131" s="45" t="n">
        <v>46342</v>
      </c>
      <c r="G131" s="45" t="n">
        <v>46343</v>
      </c>
      <c r="H131" s="15" t="n">
        <v>2</v>
      </c>
      <c r="I131" s="46" t="n">
        <v>2</v>
      </c>
      <c r="J131" s="17" t="inlineStr">
        <is>
          <t>AI辅助</t>
        </is>
      </c>
      <c r="K131" s="17" t="inlineStr">
        <is>
          <t>5.3.12</t>
        </is>
      </c>
      <c r="L131" s="15" t="inlineStr">
        <is>
          <t>未开始</t>
        </is>
      </c>
      <c r="M131" s="20" t="n">
        <v>0</v>
      </c>
      <c r="N131" s="15" t="inlineStr">
        <is>
          <t>高</t>
        </is>
      </c>
      <c r="O131" s="21" t="n"/>
      <c r="P131" s="21" t="n"/>
      <c r="Q131" s="17" t="inlineStr"/>
    </row>
    <row r="132">
      <c r="A132" s="15" t="inlineStr">
        <is>
          <t>6.3.2</t>
        </is>
      </c>
      <c r="B132" s="22" t="inlineStr">
        <is>
          <t>系统测试轮1执行（26项全用例+非功能初验：性能粗测/安全越权与掩码旁路用例，样本+CC混合）</t>
        </is>
      </c>
      <c r="C132" s="15" t="n">
        <v>3</v>
      </c>
      <c r="D132" s="17" t="inlineStr">
        <is>
          <t>轮1测试报告（含NFR初验结果）</t>
        </is>
      </c>
      <c r="E132" s="15" t="inlineStr">
        <is>
          <t>Mandy</t>
        </is>
      </c>
      <c r="F132" s="45" t="n">
        <v>46344</v>
      </c>
      <c r="G132" s="45" t="n">
        <v>46346</v>
      </c>
      <c r="H132" s="15" t="n">
        <v>3</v>
      </c>
      <c r="I132" s="46" t="n">
        <v>3</v>
      </c>
      <c r="J132" s="17" t="inlineStr">
        <is>
          <t>AI辅助</t>
        </is>
      </c>
      <c r="K132" s="17" t="inlineStr">
        <is>
          <t>4.4.3;6.1.1</t>
        </is>
      </c>
      <c r="L132" s="15" t="inlineStr">
        <is>
          <t>未开始</t>
        </is>
      </c>
      <c r="M132" s="20" t="n">
        <v>0</v>
      </c>
      <c r="N132" s="15" t="inlineStr">
        <is>
          <t>高</t>
        </is>
      </c>
      <c r="O132" s="21" t="n"/>
      <c r="P132" s="21" t="n"/>
      <c r="Q132" s="17" t="inlineStr">
        <is>
          <t>AI辅助执行与缺陷聚类分析</t>
        </is>
      </c>
    </row>
    <row r="133">
      <c r="A133" s="15" t="inlineStr">
        <is>
          <t>6.3.3</t>
        </is>
      </c>
      <c r="B133" s="22" t="inlineStr">
        <is>
          <t>轮1回归+缺陷报告</t>
        </is>
      </c>
      <c r="C133" s="15" t="n">
        <v>3</v>
      </c>
      <c r="D133" s="17" t="inlineStr">
        <is>
          <t>回归记录、缺陷报告</t>
        </is>
      </c>
      <c r="E133" s="15" t="inlineStr">
        <is>
          <t>Mandy</t>
        </is>
      </c>
      <c r="F133" s="45" t="n">
        <v>46349</v>
      </c>
      <c r="G133" s="45" t="n">
        <v>46350</v>
      </c>
      <c r="H133" s="15" t="n">
        <v>2</v>
      </c>
      <c r="I133" s="46" t="n">
        <v>1.5</v>
      </c>
      <c r="J133" s="17" t="inlineStr">
        <is>
          <t>AI辅助</t>
        </is>
      </c>
      <c r="K133" s="17" t="inlineStr">
        <is>
          <t>6.3.2</t>
        </is>
      </c>
      <c r="L133" s="15" t="inlineStr">
        <is>
          <t>未开始</t>
        </is>
      </c>
      <c r="M133" s="20" t="n">
        <v>0</v>
      </c>
      <c r="N133" s="15" t="inlineStr">
        <is>
          <t>高</t>
        </is>
      </c>
      <c r="O133" s="21" t="n"/>
      <c r="P133" s="21" t="n"/>
      <c r="Q133" s="17" t="inlineStr"/>
    </row>
    <row r="134">
      <c r="A134" s="15" t="inlineStr">
        <is>
          <t>6.3.4</t>
        </is>
      </c>
      <c r="B134" s="22" t="inlineStr">
        <is>
          <t>UAT脚本定稿+业务方排期确认</t>
        </is>
      </c>
      <c r="C134" s="15" t="n">
        <v>3</v>
      </c>
      <c r="D134" s="17" t="inlineStr">
        <is>
          <t>UAT脚本V1.0、排期表</t>
        </is>
      </c>
      <c r="E134" s="15" t="inlineStr">
        <is>
          <t>Mandy</t>
        </is>
      </c>
      <c r="F134" s="45" t="n">
        <v>46351</v>
      </c>
      <c r="G134" s="45" t="n">
        <v>46351</v>
      </c>
      <c r="H134" s="15" t="n">
        <v>1</v>
      </c>
      <c r="I134" s="46" t="n">
        <v>1</v>
      </c>
      <c r="J134" s="17" t="inlineStr">
        <is>
          <t>人工主导</t>
        </is>
      </c>
      <c r="K134" s="17" t="inlineStr">
        <is>
          <t>6.3.3</t>
        </is>
      </c>
      <c r="L134" s="15" t="inlineStr">
        <is>
          <t>未开始</t>
        </is>
      </c>
      <c r="M134" s="20" t="n">
        <v>0</v>
      </c>
      <c r="N134" s="15" t="inlineStr">
        <is>
          <t>高</t>
        </is>
      </c>
      <c r="O134" s="21" t="n"/>
      <c r="P134" s="21" t="n"/>
      <c r="Q134" s="17" t="inlineStr">
        <is>
          <t>外部依赖：业务方UAT时间</t>
        </is>
      </c>
    </row>
    <row r="135">
      <c r="A135" s="15" t="inlineStr">
        <is>
          <t>6.3.5</t>
        </is>
      </c>
      <c r="B135" s="22" t="inlineStr">
        <is>
          <t>用户/操作手册初稿评审</t>
        </is>
      </c>
      <c r="C135" s="15" t="n">
        <v>3</v>
      </c>
      <c r="D135" s="17" t="inlineStr">
        <is>
          <t>评审意见、修订版</t>
        </is>
      </c>
      <c r="E135" s="15" t="inlineStr">
        <is>
          <t>Mandy</t>
        </is>
      </c>
      <c r="F135" s="45" t="n">
        <v>46352</v>
      </c>
      <c r="G135" s="45" t="n">
        <v>46353</v>
      </c>
      <c r="H135" s="15" t="n">
        <v>2</v>
      </c>
      <c r="I135" s="46" t="n">
        <v>1</v>
      </c>
      <c r="J135" s="17" t="inlineStr">
        <is>
          <t>AI辅助</t>
        </is>
      </c>
      <c r="K135" s="17" t="inlineStr">
        <is>
          <t>5.3.10</t>
        </is>
      </c>
      <c r="L135" s="15" t="inlineStr">
        <is>
          <t>未开始</t>
        </is>
      </c>
      <c r="M135" s="20" t="n">
        <v>0</v>
      </c>
      <c r="N135" s="15" t="inlineStr">
        <is>
          <t>中</t>
        </is>
      </c>
      <c r="O135" s="21" t="n"/>
      <c r="P135" s="21" t="n"/>
      <c r="Q135" s="17" t="inlineStr"/>
    </row>
    <row r="136">
      <c r="A136" s="8" t="inlineStr">
        <is>
          <t>7</t>
        </is>
      </c>
      <c r="B136" s="9" t="inlineStr">
        <is>
          <t>系统测试与UAT（以CC为验证系统）</t>
        </is>
      </c>
      <c r="C136" s="8" t="n">
        <v>1</v>
      </c>
      <c r="D136" s="10" t="inlineStr">
        <is>
          <t>测试报告、UAT签字、手册V1.0、生产就绪</t>
        </is>
      </c>
      <c r="E136" s="8" t="inlineStr">
        <is>
          <t>Mandy/Wade/DevB</t>
        </is>
      </c>
      <c r="F136" s="43" t="n">
        <v>46358</v>
      </c>
      <c r="G136" s="43" t="n">
        <v>46365</v>
      </c>
      <c r="H136" s="8" t="n">
        <v>6</v>
      </c>
      <c r="I136" s="44">
        <f>ROUND(SUMPRODUCT(($C$137:$C$150=3)*(LEFT($A$137:$A$150,LEN(A136))=A136)*$I$137:$I$150),2)</f>
        <v/>
      </c>
      <c r="J136" s="10" t="inlineStr"/>
      <c r="K136" s="10" t="inlineStr"/>
      <c r="L136" s="8" t="inlineStr">
        <is>
          <t>未开始</t>
        </is>
      </c>
      <c r="M136" s="13" t="n">
        <v>0</v>
      </c>
      <c r="N136" s="8" t="inlineStr">
        <is>
          <t>高</t>
        </is>
      </c>
      <c r="O136" s="14" t="n"/>
      <c r="P136" s="14" t="n"/>
      <c r="Q136" s="10" t="inlineStr">
        <is>
          <t>12/2~12/9；M6=12/9</t>
        </is>
      </c>
    </row>
    <row r="137">
      <c r="A137" s="15" t="inlineStr">
        <is>
          <t>7.1</t>
        </is>
      </c>
      <c r="B137" s="16" t="inlineStr">
        <is>
          <t>全量测试与UAT（Mandy）</t>
        </is>
      </c>
      <c r="C137" s="15" t="n">
        <v>2</v>
      </c>
      <c r="D137" s="17" t="inlineStr">
        <is>
          <t>系统测试报告、UAT签字、手册V1.0</t>
        </is>
      </c>
      <c r="E137" s="15" t="inlineStr">
        <is>
          <t>Mandy</t>
        </is>
      </c>
      <c r="F137" s="45" t="n">
        <v>46358</v>
      </c>
      <c r="G137" s="45" t="n">
        <v>46364</v>
      </c>
      <c r="H137" s="15" t="n">
        <v>5</v>
      </c>
      <c r="I137" s="46">
        <f>ROUND(SUMPRODUCT(($C$138:$C$141=3)*(LEFT($A$138:$A$141,LEN(A137))=A137)*$I$138:$I$141),2)</f>
        <v/>
      </c>
      <c r="J137" s="17" t="inlineStr"/>
      <c r="K137" s="17" t="inlineStr"/>
      <c r="L137" s="15" t="inlineStr">
        <is>
          <t>未开始</t>
        </is>
      </c>
      <c r="M137" s="20" t="n">
        <v>0</v>
      </c>
      <c r="N137" s="15" t="inlineStr">
        <is>
          <t>高</t>
        </is>
      </c>
      <c r="O137" s="21" t="n"/>
      <c r="P137" s="21" t="n"/>
      <c r="Q137" s="17" t="inlineStr"/>
    </row>
    <row r="138">
      <c r="A138" s="15" t="inlineStr">
        <is>
          <t>7.1.1</t>
        </is>
      </c>
      <c r="B138" s="22" t="inlineStr">
        <is>
          <t>系统测试全量执行（26项逐项+汇总NFR专项结果（7.2.3/7.2.6），CC真实数据：检索/预览/导出/处置/审计）</t>
        </is>
      </c>
      <c r="C138" s="15" t="n">
        <v>3</v>
      </c>
      <c r="D138" s="17" t="inlineStr">
        <is>
          <t>全量测试记录（功能+NFR）</t>
        </is>
      </c>
      <c r="E138" s="15" t="inlineStr">
        <is>
          <t>Mandy</t>
        </is>
      </c>
      <c r="F138" s="45" t="n">
        <v>46358</v>
      </c>
      <c r="G138" s="45" t="n">
        <v>46359</v>
      </c>
      <c r="H138" s="15" t="n">
        <v>2</v>
      </c>
      <c r="I138" s="46" t="n">
        <v>2</v>
      </c>
      <c r="J138" s="17" t="inlineStr">
        <is>
          <t>AI辅助</t>
        </is>
      </c>
      <c r="K138" s="17" t="inlineStr">
        <is>
          <t>6.3.3;6.2.6</t>
        </is>
      </c>
      <c r="L138" s="15" t="inlineStr">
        <is>
          <t>未开始</t>
        </is>
      </c>
      <c r="M138" s="20" t="n">
        <v>0</v>
      </c>
      <c r="N138" s="15" t="inlineStr">
        <is>
          <t>高</t>
        </is>
      </c>
      <c r="O138" s="21" t="n"/>
      <c r="P138" s="21" t="n"/>
      <c r="Q138" s="17" t="inlineStr">
        <is>
          <t>NFR指标逐项对照2.3.1基线出结果</t>
        </is>
      </c>
    </row>
    <row r="139">
      <c r="A139" s="15" t="inlineStr">
        <is>
          <t>7.1.2</t>
        </is>
      </c>
      <c r="B139" s="22" t="inlineStr">
        <is>
          <t>缺陷回归与关闭（或书面接受）</t>
        </is>
      </c>
      <c r="C139" s="15" t="n">
        <v>3</v>
      </c>
      <c r="D139" s="17" t="inlineStr">
        <is>
          <t>缺陷关闭清单</t>
        </is>
      </c>
      <c r="E139" s="15" t="inlineStr">
        <is>
          <t>Mandy</t>
        </is>
      </c>
      <c r="F139" s="45" t="n">
        <v>46360</v>
      </c>
      <c r="G139" s="45" t="n">
        <v>46360</v>
      </c>
      <c r="H139" s="15" t="n">
        <v>1</v>
      </c>
      <c r="I139" s="46" t="n">
        <v>1</v>
      </c>
      <c r="J139" s="17" t="inlineStr">
        <is>
          <t>AI辅助</t>
        </is>
      </c>
      <c r="K139" s="17" t="inlineStr">
        <is>
          <t>7.1.1</t>
        </is>
      </c>
      <c r="L139" s="15" t="inlineStr">
        <is>
          <t>未开始</t>
        </is>
      </c>
      <c r="M139" s="20" t="n">
        <v>0</v>
      </c>
      <c r="N139" s="15" t="inlineStr">
        <is>
          <t>高</t>
        </is>
      </c>
      <c r="O139" s="21" t="n"/>
      <c r="P139" s="21" t="n"/>
      <c r="Q139" s="17" t="inlineStr"/>
    </row>
    <row r="140">
      <c r="A140" s="23" t="inlineStr">
        <is>
          <t>7.1.3</t>
        </is>
      </c>
      <c r="B140" s="24" t="inlineStr">
        <is>
          <t>UAT组织与主持（业务方按CC场景验收）◆M6</t>
        </is>
      </c>
      <c r="C140" s="23" t="n">
        <v>3</v>
      </c>
      <c r="D140" s="25" t="inlineStr">
        <is>
          <t>UAT报告、签字</t>
        </is>
      </c>
      <c r="E140" s="23" t="inlineStr">
        <is>
          <t>Mandy</t>
        </is>
      </c>
      <c r="F140" s="47" t="n">
        <v>46363</v>
      </c>
      <c r="G140" s="47" t="n">
        <v>46363</v>
      </c>
      <c r="H140" s="23" t="n">
        <v>1</v>
      </c>
      <c r="I140" s="48" t="n">
        <v>1</v>
      </c>
      <c r="J140" s="25" t="inlineStr">
        <is>
          <t>人工主导</t>
        </is>
      </c>
      <c r="K140" s="25" t="inlineStr">
        <is>
          <t>7.1.2;6.3.4</t>
        </is>
      </c>
      <c r="L140" s="23" t="inlineStr">
        <is>
          <t>未开始</t>
        </is>
      </c>
      <c r="M140" s="28" t="n">
        <v>0</v>
      </c>
      <c r="N140" s="23" t="inlineStr">
        <is>
          <t>高</t>
        </is>
      </c>
      <c r="O140" s="29" t="n"/>
      <c r="P140" s="29" t="n"/>
      <c r="Q140" s="25" t="inlineStr">
        <is>
          <t>★M6·UAT签字 12/7；业务方到场</t>
        </is>
      </c>
    </row>
    <row r="141">
      <c r="A141" s="15" t="inlineStr">
        <is>
          <t>7.1.4</t>
        </is>
      </c>
      <c r="B141" s="22" t="inlineStr">
        <is>
          <t>系统测试报告+UAT报告定稿+手册定稿V1.0</t>
        </is>
      </c>
      <c r="C141" s="15" t="n">
        <v>3</v>
      </c>
      <c r="D141" s="17" t="inlineStr">
        <is>
          <t>测试报告、用户/操作手册V1.0</t>
        </is>
      </c>
      <c r="E141" s="15" t="inlineStr">
        <is>
          <t>Mandy</t>
        </is>
      </c>
      <c r="F141" s="45" t="n">
        <v>46364</v>
      </c>
      <c r="G141" s="45" t="n">
        <v>46364</v>
      </c>
      <c r="H141" s="15" t="n">
        <v>1</v>
      </c>
      <c r="I141" s="46" t="n">
        <v>1</v>
      </c>
      <c r="J141" s="17" t="inlineStr">
        <is>
          <t>AI辅助</t>
        </is>
      </c>
      <c r="K141" s="17" t="inlineStr">
        <is>
          <t>7.1.3</t>
        </is>
      </c>
      <c r="L141" s="15" t="inlineStr">
        <is>
          <t>未开始</t>
        </is>
      </c>
      <c r="M141" s="20" t="n">
        <v>0</v>
      </c>
      <c r="N141" s="15" t="inlineStr">
        <is>
          <t>高</t>
        </is>
      </c>
      <c r="O141" s="21" t="n"/>
      <c r="P141" s="21" t="n"/>
      <c r="Q141" s="17" t="inlineStr">
        <is>
          <t>★M6·报告齐套 12/8；AI辅助成文</t>
        </is>
      </c>
    </row>
    <row r="142">
      <c r="A142" s="15" t="inlineStr">
        <is>
          <t>7.2</t>
        </is>
      </c>
      <c r="B142" s="16" t="inlineStr">
        <is>
          <t>生产就绪与非功能专项验证（Wade/DevB）</t>
        </is>
      </c>
      <c r="C142" s="15" t="n">
        <v>2</v>
      </c>
      <c r="D142" s="17" t="inlineStr">
        <is>
          <t>部署预演、迁移预跑、性能/安全专项报告</t>
        </is>
      </c>
      <c r="E142" s="15" t="inlineStr">
        <is>
          <t>Wade/DevB</t>
        </is>
      </c>
      <c r="F142" s="45" t="n">
        <v>46358</v>
      </c>
      <c r="G142" s="45" t="n">
        <v>46365</v>
      </c>
      <c r="H142" s="15" t="n">
        <v>6</v>
      </c>
      <c r="I142" s="46">
        <f>ROUND(SUMPRODUCT(($C$143:$C$150=3)*(LEFT($A$143:$A$150,LEN(A142))=A142)*$I$143:$I$150),2)</f>
        <v/>
      </c>
      <c r="J142" s="17" t="inlineStr"/>
      <c r="K142" s="17" t="inlineStr"/>
      <c r="L142" s="15" t="inlineStr">
        <is>
          <t>未开始</t>
        </is>
      </c>
      <c r="M142" s="20" t="n">
        <v>0</v>
      </c>
      <c r="N142" s="15" t="inlineStr">
        <is>
          <t>高</t>
        </is>
      </c>
      <c r="O142" s="21" t="n"/>
      <c r="P142" s="21" t="n"/>
      <c r="Q142" s="17" t="inlineStr"/>
    </row>
    <row r="143">
      <c r="A143" s="15" t="inlineStr">
        <is>
          <t>7.2.1</t>
        </is>
      </c>
      <c r="B143" s="22" t="inlineStr">
        <is>
          <t>缺陷快速修复（前端/应用）</t>
        </is>
      </c>
      <c r="C143" s="15" t="n">
        <v>3</v>
      </c>
      <c r="D143" s="17" t="inlineStr">
        <is>
          <t>修复提交</t>
        </is>
      </c>
      <c r="E143" s="15" t="inlineStr">
        <is>
          <t>Wade</t>
        </is>
      </c>
      <c r="F143" s="45" t="n">
        <v>46358</v>
      </c>
      <c r="G143" s="45" t="n">
        <v>46358</v>
      </c>
      <c r="H143" s="15" t="n">
        <v>1</v>
      </c>
      <c r="I143" s="46" t="n">
        <v>1</v>
      </c>
      <c r="J143" s="17" t="inlineStr">
        <is>
          <t>AI生成+人工审核</t>
        </is>
      </c>
      <c r="K143" s="17" t="inlineStr">
        <is>
          <t>7.1.1</t>
        </is>
      </c>
      <c r="L143" s="15" t="inlineStr">
        <is>
          <t>未开始</t>
        </is>
      </c>
      <c r="M143" s="20" t="n">
        <v>0</v>
      </c>
      <c r="N143" s="15" t="inlineStr">
        <is>
          <t>高</t>
        </is>
      </c>
      <c r="O143" s="21" t="n"/>
      <c r="P143" s="21" t="n"/>
      <c r="Q143" s="17" t="inlineStr"/>
    </row>
    <row r="144">
      <c r="A144" s="15" t="inlineStr">
        <is>
          <t>7.2.2</t>
        </is>
      </c>
      <c r="B144" s="22" t="inlineStr">
        <is>
          <t>生产部署预演（Staging完整演练+回退预案验证）</t>
        </is>
      </c>
      <c r="C144" s="15" t="n">
        <v>3</v>
      </c>
      <c r="D144" s="17" t="inlineStr">
        <is>
          <t>预演报告、回退预案</t>
        </is>
      </c>
      <c r="E144" s="15" t="inlineStr">
        <is>
          <t>Wade</t>
        </is>
      </c>
      <c r="F144" s="45" t="n">
        <v>46363</v>
      </c>
      <c r="G144" s="45" t="n">
        <v>46364</v>
      </c>
      <c r="H144" s="15" t="n">
        <v>2</v>
      </c>
      <c r="I144" s="46" t="n">
        <v>2</v>
      </c>
      <c r="J144" s="17" t="inlineStr">
        <is>
          <t>人工主导</t>
        </is>
      </c>
      <c r="K144" s="17" t="inlineStr">
        <is>
          <t>6.1.6</t>
        </is>
      </c>
      <c r="L144" s="15" t="inlineStr">
        <is>
          <t>未开始</t>
        </is>
      </c>
      <c r="M144" s="20" t="n">
        <v>0</v>
      </c>
      <c r="N144" s="15" t="inlineStr">
        <is>
          <t>高</t>
        </is>
      </c>
      <c r="O144" s="21" t="n"/>
      <c r="P144" s="21" t="inlineStr">
        <is>
          <t>12/7~12/8与UAT并行（staging环境，互不冲突）；回退预案验证</t>
        </is>
      </c>
      <c r="Q144" s="17" t="inlineStr"/>
    </row>
    <row r="145">
      <c r="A145" s="15" t="inlineStr">
        <is>
          <t>7.2.3</t>
        </is>
      </c>
      <c r="B145" s="22" t="inlineStr">
        <is>
          <t>性能专项验证与调优（检索响应/预览加载/导出吞吐/并发，对照2.3.1 NFR指标）</t>
        </is>
      </c>
      <c r="C145" s="15" t="n">
        <v>3</v>
      </c>
      <c r="D145" s="17" t="inlineStr">
        <is>
          <t>性能验证报告</t>
        </is>
      </c>
      <c r="E145" s="15" t="inlineStr">
        <is>
          <t>Wade</t>
        </is>
      </c>
      <c r="F145" s="45" t="n">
        <v>46359</v>
      </c>
      <c r="G145" s="45" t="n">
        <v>46360</v>
      </c>
      <c r="H145" s="15" t="n">
        <v>2</v>
      </c>
      <c r="I145" s="46" t="n">
        <v>2</v>
      </c>
      <c r="J145" s="17" t="inlineStr">
        <is>
          <t>AI辅助</t>
        </is>
      </c>
      <c r="K145" s="17" t="inlineStr">
        <is>
          <t>6.1.6</t>
        </is>
      </c>
      <c r="L145" s="15" t="inlineStr">
        <is>
          <t>未开始</t>
        </is>
      </c>
      <c r="M145" s="20" t="n">
        <v>0</v>
      </c>
      <c r="N145" s="15" t="inlineStr">
        <is>
          <t>高</t>
        </is>
      </c>
      <c r="O145" s="21" t="n"/>
      <c r="P145" s="21" t="inlineStr">
        <is>
          <t>★先于UAT（12/7）完成：不达标则调优复测后再组织UAT；结果提交M6与生产就绪评审</t>
        </is>
      </c>
      <c r="Q145" s="17" t="inlineStr">
        <is>
          <t>不达标项现场调优并复测</t>
        </is>
      </c>
    </row>
    <row r="146">
      <c r="A146" s="15" t="inlineStr">
        <is>
          <t>7.2.4</t>
        </is>
      </c>
      <c r="B146" s="22" t="inlineStr">
        <is>
          <t>缺陷快速修复（数据/服务）</t>
        </is>
      </c>
      <c r="C146" s="15" t="n">
        <v>3</v>
      </c>
      <c r="D146" s="17" t="inlineStr">
        <is>
          <t>修复提交</t>
        </is>
      </c>
      <c r="E146" s="15" t="inlineStr">
        <is>
          <t>DevB</t>
        </is>
      </c>
      <c r="F146" s="45" t="n">
        <v>46358</v>
      </c>
      <c r="G146" s="45" t="n">
        <v>46358</v>
      </c>
      <c r="H146" s="15" t="n">
        <v>1</v>
      </c>
      <c r="I146" s="46" t="n">
        <v>1</v>
      </c>
      <c r="J146" s="17" t="inlineStr">
        <is>
          <t>AI生成+人工审核</t>
        </is>
      </c>
      <c r="K146" s="17" t="inlineStr">
        <is>
          <t>7.1.1</t>
        </is>
      </c>
      <c r="L146" s="15" t="inlineStr">
        <is>
          <t>未开始</t>
        </is>
      </c>
      <c r="M146" s="20" t="n">
        <v>0</v>
      </c>
      <c r="N146" s="15" t="inlineStr">
        <is>
          <t>高</t>
        </is>
      </c>
      <c r="O146" s="21" t="n"/>
      <c r="P146" s="21" t="n"/>
      <c r="Q146" s="17" t="inlineStr"/>
    </row>
    <row r="147">
      <c r="A147" s="15" t="inlineStr">
        <is>
          <t>7.2.5</t>
        </is>
      </c>
      <c r="B147" s="22" t="inlineStr">
        <is>
          <t>CC生产迁移预跑（全流程dry-run）</t>
        </is>
      </c>
      <c r="C147" s="15" t="n">
        <v>3</v>
      </c>
      <c r="D147" s="17" t="inlineStr">
        <is>
          <t>预跑报告</t>
        </is>
      </c>
      <c r="E147" s="15" t="inlineStr">
        <is>
          <t>DevB</t>
        </is>
      </c>
      <c r="F147" s="45" t="n">
        <v>46363</v>
      </c>
      <c r="G147" s="45" t="n">
        <v>46364</v>
      </c>
      <c r="H147" s="15" t="n">
        <v>2</v>
      </c>
      <c r="I147" s="46" t="n">
        <v>2</v>
      </c>
      <c r="J147" s="17" t="inlineStr">
        <is>
          <t>自动化流水线</t>
        </is>
      </c>
      <c r="K147" s="17" t="inlineStr">
        <is>
          <t>6.2.5</t>
        </is>
      </c>
      <c r="L147" s="15" t="inlineStr">
        <is>
          <t>未开始</t>
        </is>
      </c>
      <c r="M147" s="20" t="n">
        <v>0</v>
      </c>
      <c r="N147" s="15" t="inlineStr">
        <is>
          <t>高</t>
        </is>
      </c>
      <c r="O147" s="21" t="n"/>
      <c r="P147" s="21" t="inlineStr">
        <is>
          <t>12/7~12/8与UAT并行；全流程dry-run</t>
        </is>
      </c>
      <c r="Q147" s="17" t="inlineStr"/>
    </row>
    <row r="148">
      <c r="A148" s="15" t="inlineStr">
        <is>
          <t>7.2.6</t>
        </is>
      </c>
      <c r="B148" s="22" t="inlineStr">
        <is>
          <t>安全与可靠性专项验证（越权/掩码旁路用例执行+备份恢复与灾备切换演练，对照2.3.1）</t>
        </is>
      </c>
      <c r="C148" s="15" t="n">
        <v>3</v>
      </c>
      <c r="D148" s="17" t="inlineStr">
        <is>
          <t>安全可靠性验证报告</t>
        </is>
      </c>
      <c r="E148" s="15" t="inlineStr">
        <is>
          <t>DevB</t>
        </is>
      </c>
      <c r="F148" s="45" t="n">
        <v>46359</v>
      </c>
      <c r="G148" s="45" t="n">
        <v>46360</v>
      </c>
      <c r="H148" s="15" t="n">
        <v>2</v>
      </c>
      <c r="I148" s="46" t="n">
        <v>1.5</v>
      </c>
      <c r="J148" s="17" t="inlineStr">
        <is>
          <t>AI辅助</t>
        </is>
      </c>
      <c r="K148" s="17" t="inlineStr">
        <is>
          <t>6.2.5;7.2.4</t>
        </is>
      </c>
      <c r="L148" s="15" t="inlineStr">
        <is>
          <t>未开始</t>
        </is>
      </c>
      <c r="M148" s="20" t="n">
        <v>0</v>
      </c>
      <c r="N148" s="15" t="inlineStr">
        <is>
          <t>高</t>
        </is>
      </c>
      <c r="O148" s="21" t="n"/>
      <c r="P148" s="21" t="inlineStr">
        <is>
          <t>★先于UAT（12/7）完成：越权/掩码旁路用例全跑+备份恢复与灾备切换演练；结果提交就绪评审</t>
        </is>
      </c>
      <c r="Q148" s="17" t="inlineStr"/>
    </row>
    <row r="149">
      <c r="A149" s="23" t="inlineStr">
        <is>
          <t>7.2.7</t>
        </is>
      </c>
      <c r="B149" s="24" t="inlineStr">
        <is>
          <t>生产就绪评审（Runbook/配置/回退/NFR达标确认）◆</t>
        </is>
      </c>
      <c r="C149" s="23" t="n">
        <v>3</v>
      </c>
      <c r="D149" s="25" t="inlineStr">
        <is>
          <t>就绪评审签字</t>
        </is>
      </c>
      <c r="E149" s="23" t="inlineStr">
        <is>
          <t>Wade</t>
        </is>
      </c>
      <c r="F149" s="47" t="n">
        <v>46365</v>
      </c>
      <c r="G149" s="47" t="n">
        <v>46365</v>
      </c>
      <c r="H149" s="23" t="n">
        <v>1</v>
      </c>
      <c r="I149" s="48" t="n">
        <v>1</v>
      </c>
      <c r="J149" s="25" t="inlineStr">
        <is>
          <t>人工主导</t>
        </is>
      </c>
      <c r="K149" s="25" t="inlineStr">
        <is>
          <t>7.2.2;7.2.3;7.2.5;7.2.6</t>
        </is>
      </c>
      <c r="L149" s="23" t="inlineStr">
        <is>
          <t>未开始</t>
        </is>
      </c>
      <c r="M149" s="28" t="n">
        <v>0</v>
      </c>
      <c r="N149" s="23" t="inlineStr">
        <is>
          <t>高</t>
        </is>
      </c>
      <c r="O149" s="29" t="n"/>
      <c r="P149" s="29" t="n"/>
      <c r="Q149" s="25" t="inlineStr">
        <is>
          <t>12/9；PM+业务方参加</t>
        </is>
      </c>
    </row>
    <row r="150">
      <c r="A150" s="15" t="inlineStr">
        <is>
          <t>7.2.8</t>
        </is>
      </c>
      <c r="B150" s="22" t="inlineStr">
        <is>
          <t>生产数据就绪核查清单执行</t>
        </is>
      </c>
      <c r="C150" s="15" t="n">
        <v>3</v>
      </c>
      <c r="D150" s="17" t="inlineStr">
        <is>
          <t>数据就绪核查单</t>
        </is>
      </c>
      <c r="E150" s="15" t="inlineStr">
        <is>
          <t>DevB</t>
        </is>
      </c>
      <c r="F150" s="45" t="n">
        <v>46365</v>
      </c>
      <c r="G150" s="45" t="n">
        <v>46365</v>
      </c>
      <c r="H150" s="15" t="n">
        <v>1</v>
      </c>
      <c r="I150" s="46" t="n">
        <v>1</v>
      </c>
      <c r="J150" s="17" t="inlineStr">
        <is>
          <t>AI辅助</t>
        </is>
      </c>
      <c r="K150" s="17" t="inlineStr">
        <is>
          <t>7.2.5</t>
        </is>
      </c>
      <c r="L150" s="15" t="inlineStr">
        <is>
          <t>未开始</t>
        </is>
      </c>
      <c r="M150" s="20" t="n">
        <v>0</v>
      </c>
      <c r="N150" s="15" t="inlineStr">
        <is>
          <t>高</t>
        </is>
      </c>
      <c r="O150" s="21" t="n"/>
      <c r="P150" s="21" t="n"/>
      <c r="Q150" s="17" t="inlineStr">
        <is>
          <t>四层完备性/元数据初始化预检</t>
        </is>
      </c>
    </row>
    <row r="151">
      <c r="A151" s="8" t="inlineStr">
        <is>
          <t>8</t>
        </is>
      </c>
      <c r="B151" s="9" t="inlineStr">
        <is>
          <t>部署上线与项目交付</t>
        </is>
      </c>
      <c r="C151" s="8" t="n">
        <v>1</v>
      </c>
      <c r="D151" s="10" t="inlineStr">
        <is>
          <t>生产系统上线、交付物归档、交付确认</t>
        </is>
      </c>
      <c r="E151" s="8" t="inlineStr">
        <is>
          <t>全员</t>
        </is>
      </c>
      <c r="F151" s="43" t="n">
        <v>46366</v>
      </c>
      <c r="G151" s="43" t="n">
        <v>46372</v>
      </c>
      <c r="H151" s="8" t="n">
        <v>5</v>
      </c>
      <c r="I151" s="44">
        <f>ROUND(SUMPRODUCT(($C$152:$C$164=3)*(LEFT($A$152:$A$164,LEN(A151))=A151)*$I$152:$I$164),2)</f>
        <v/>
      </c>
      <c r="J151" s="10" t="inlineStr"/>
      <c r="K151" s="10" t="inlineStr"/>
      <c r="L151" s="8" t="inlineStr">
        <is>
          <t>未开始</t>
        </is>
      </c>
      <c r="M151" s="13" t="n">
        <v>0</v>
      </c>
      <c r="N151" s="8" t="inlineStr">
        <is>
          <t>高</t>
        </is>
      </c>
      <c r="O151" s="14" t="n"/>
      <c r="P151" s="14" t="n"/>
      <c r="Q151" s="10" t="inlineStr">
        <is>
          <t>12/10~12/16；M7=12/16</t>
        </is>
      </c>
    </row>
    <row r="152">
      <c r="A152" s="15" t="inlineStr">
        <is>
          <t>8.1</t>
        </is>
      </c>
      <c r="B152" s="16" t="inlineStr">
        <is>
          <t>生产部署与全量迁移</t>
        </is>
      </c>
      <c r="C152" s="15" t="n">
        <v>2</v>
      </c>
      <c r="D152" s="17" t="inlineStr">
        <is>
          <t>上线系统、终版对账报告</t>
        </is>
      </c>
      <c r="E152" s="15" t="inlineStr">
        <is>
          <t>Wade/DevB</t>
        </is>
      </c>
      <c r="F152" s="45" t="n">
        <v>46366</v>
      </c>
      <c r="G152" s="45" t="n">
        <v>46371</v>
      </c>
      <c r="H152" s="15" t="n">
        <v>4</v>
      </c>
      <c r="I152" s="46">
        <f>ROUND(SUMPRODUCT(($C$153:$C$156=3)*(LEFT($A$153:$A$156,LEN(A152))=A152)*$I$153:$I$156),2)</f>
        <v/>
      </c>
      <c r="J152" s="17" t="inlineStr"/>
      <c r="K152" s="17" t="inlineStr"/>
      <c r="L152" s="15" t="inlineStr">
        <is>
          <t>未开始</t>
        </is>
      </c>
      <c r="M152" s="20" t="n">
        <v>0</v>
      </c>
      <c r="N152" s="15" t="inlineStr">
        <is>
          <t>高</t>
        </is>
      </c>
      <c r="O152" s="21" t="n"/>
      <c r="P152" s="21" t="n"/>
      <c r="Q152" s="17" t="inlineStr">
        <is>
          <t>需生产窗口审批</t>
        </is>
      </c>
    </row>
    <row r="153">
      <c r="A153" s="15" t="inlineStr">
        <is>
          <t>8.1.1</t>
        </is>
      </c>
      <c r="B153" s="22" t="inlineStr">
        <is>
          <t>生产部署执行（K8s生产环境：服务+前端+UC初始配置）</t>
        </is>
      </c>
      <c r="C153" s="15" t="n">
        <v>3</v>
      </c>
      <c r="D153" s="17" t="inlineStr">
        <is>
          <t>上线记录</t>
        </is>
      </c>
      <c r="E153" s="15" t="inlineStr">
        <is>
          <t>Wade</t>
        </is>
      </c>
      <c r="F153" s="45" t="n">
        <v>46366</v>
      </c>
      <c r="G153" s="45" t="n">
        <v>46366</v>
      </c>
      <c r="H153" s="15" t="n">
        <v>1</v>
      </c>
      <c r="I153" s="46" t="n">
        <v>1</v>
      </c>
      <c r="J153" s="17" t="inlineStr">
        <is>
          <t>人工主导</t>
        </is>
      </c>
      <c r="K153" s="17" t="inlineStr">
        <is>
          <t>7.2.7</t>
        </is>
      </c>
      <c r="L153" s="15" t="inlineStr">
        <is>
          <t>未开始</t>
        </is>
      </c>
      <c r="M153" s="20" t="n">
        <v>0</v>
      </c>
      <c r="N153" s="15" t="inlineStr">
        <is>
          <t>高</t>
        </is>
      </c>
      <c r="O153" s="21" t="n"/>
      <c r="P153" s="21" t="n"/>
      <c r="Q153" s="17" t="inlineStr">
        <is>
          <t>外部依赖：生产窗口</t>
        </is>
      </c>
    </row>
    <row r="154">
      <c r="A154" s="15" t="inlineStr">
        <is>
          <t>8.1.2</t>
        </is>
      </c>
      <c r="B154" s="22" t="inlineStr">
        <is>
          <t>CC生产全量迁移（分批迁移+终版对账）</t>
        </is>
      </c>
      <c r="C154" s="15" t="n">
        <v>3</v>
      </c>
      <c r="D154" s="17" t="inlineStr">
        <is>
          <t>终版对账报告</t>
        </is>
      </c>
      <c r="E154" s="15" t="inlineStr">
        <is>
          <t>DevB</t>
        </is>
      </c>
      <c r="F154" s="45" t="n">
        <v>46366</v>
      </c>
      <c r="G154" s="45" t="n">
        <v>46370</v>
      </c>
      <c r="H154" s="15" t="n">
        <v>3</v>
      </c>
      <c r="I154" s="46" t="n">
        <v>3</v>
      </c>
      <c r="J154" s="17" t="inlineStr">
        <is>
          <t>自动化流水线</t>
        </is>
      </c>
      <c r="K154" s="17" t="inlineStr">
        <is>
          <t>7.2.5;8.1.1</t>
        </is>
      </c>
      <c r="L154" s="15" t="inlineStr">
        <is>
          <t>未开始</t>
        </is>
      </c>
      <c r="M154" s="20" t="n">
        <v>0</v>
      </c>
      <c r="N154" s="15" t="inlineStr">
        <is>
          <t>高</t>
        </is>
      </c>
      <c r="O154" s="21" t="n"/>
      <c r="P154" s="21" t="n"/>
      <c r="Q154" s="17" t="inlineStr">
        <is>
          <t>12/10~12/14分批执行（跨周末）</t>
        </is>
      </c>
    </row>
    <row r="155">
      <c r="A155" s="15" t="inlineStr">
        <is>
          <t>8.1.3</t>
        </is>
      </c>
      <c r="B155" s="22" t="inlineStr">
        <is>
          <t>生产数据就绪核查+生产作业启动（增量接入/到期处置调度）</t>
        </is>
      </c>
      <c r="C155" s="15" t="n">
        <v>3</v>
      </c>
      <c r="D155" s="17" t="inlineStr">
        <is>
          <t>数据核查报告、作业启动记录</t>
        </is>
      </c>
      <c r="E155" s="15" t="inlineStr">
        <is>
          <t>DevB</t>
        </is>
      </c>
      <c r="F155" s="45" t="n">
        <v>46371</v>
      </c>
      <c r="G155" s="45" t="n">
        <v>46371</v>
      </c>
      <c r="H155" s="15" t="n">
        <v>1</v>
      </c>
      <c r="I155" s="46" t="n">
        <v>1</v>
      </c>
      <c r="J155" s="17" t="inlineStr">
        <is>
          <t>AI辅助</t>
        </is>
      </c>
      <c r="K155" s="17" t="inlineStr">
        <is>
          <t>8.1.2</t>
        </is>
      </c>
      <c r="L155" s="15" t="inlineStr">
        <is>
          <t>未开始</t>
        </is>
      </c>
      <c r="M155" s="20" t="n">
        <v>0</v>
      </c>
      <c r="N155" s="15" t="inlineStr">
        <is>
          <t>高</t>
        </is>
      </c>
      <c r="O155" s="21" t="n"/>
      <c r="P155" s="21" t="n"/>
      <c r="Q155" s="17" t="inlineStr">
        <is>
          <t>处置作业首次执行验证</t>
        </is>
      </c>
    </row>
    <row r="156">
      <c r="A156" s="15" t="inlineStr">
        <is>
          <t>8.1.4</t>
        </is>
      </c>
      <c r="B156" s="22" t="inlineStr">
        <is>
          <t>上线验证（冒烟+核心场景界面核对：检索/预览/导出/审计）</t>
        </is>
      </c>
      <c r="C156" s="15" t="n">
        <v>3</v>
      </c>
      <c r="D156" s="17" t="inlineStr">
        <is>
          <t>冒烟记录</t>
        </is>
      </c>
      <c r="E156" s="15" t="inlineStr">
        <is>
          <t>Wade</t>
        </is>
      </c>
      <c r="F156" s="45" t="n">
        <v>46367</v>
      </c>
      <c r="G156" s="45" t="n">
        <v>46367</v>
      </c>
      <c r="H156" s="15" t="n">
        <v>1</v>
      </c>
      <c r="I156" s="46" t="n">
        <v>1</v>
      </c>
      <c r="J156" s="17" t="inlineStr">
        <is>
          <t>人工主导</t>
        </is>
      </c>
      <c r="K156" s="17" t="inlineStr">
        <is>
          <t>8.1.1</t>
        </is>
      </c>
      <c r="L156" s="15" t="inlineStr">
        <is>
          <t>未开始</t>
        </is>
      </c>
      <c r="M156" s="20" t="n">
        <v>0</v>
      </c>
      <c r="N156" s="15" t="inlineStr">
        <is>
          <t>高</t>
        </is>
      </c>
      <c r="O156" s="21" t="n"/>
      <c r="P156" s="21" t="n"/>
      <c r="Q156" s="17" t="inlineStr"/>
    </row>
    <row r="157">
      <c r="A157" s="15" t="inlineStr">
        <is>
          <t>8.2</t>
        </is>
      </c>
      <c r="B157" s="16" t="inlineStr">
        <is>
          <t>上线值守与交付收尾</t>
        </is>
      </c>
      <c r="C157" s="15" t="n">
        <v>2</v>
      </c>
      <c r="D157" s="17" t="inlineStr">
        <is>
          <t>值守记录、交付物包、交付确认、总结</t>
        </is>
      </c>
      <c r="E157" s="15" t="inlineStr">
        <is>
          <t>全员</t>
        </is>
      </c>
      <c r="F157" s="45" t="n">
        <v>46366</v>
      </c>
      <c r="G157" s="45" t="n">
        <v>46372</v>
      </c>
      <c r="H157" s="15" t="n">
        <v>5</v>
      </c>
      <c r="I157" s="46">
        <f>ROUND(SUMPRODUCT(($C$158:$C$164=3)*(LEFT($A$158:$A$164,LEN(A157))=A157)*$I$158:$I$164),2)</f>
        <v/>
      </c>
      <c r="J157" s="17" t="inlineStr"/>
      <c r="K157" s="17" t="inlineStr"/>
      <c r="L157" s="15" t="inlineStr">
        <is>
          <t>未开始</t>
        </is>
      </c>
      <c r="M157" s="20" t="n">
        <v>0</v>
      </c>
      <c r="N157" s="15" t="inlineStr">
        <is>
          <t>高</t>
        </is>
      </c>
      <c r="O157" s="21" t="n"/>
      <c r="P157" s="21" t="n"/>
      <c r="Q157" s="17" t="inlineStr"/>
    </row>
    <row r="158">
      <c r="A158" s="15" t="inlineStr">
        <is>
          <t>8.2.1</t>
        </is>
      </c>
      <c r="B158" s="22" t="inlineStr">
        <is>
          <t>上线首日支持与问题记录（业务侧）</t>
        </is>
      </c>
      <c r="C158" s="15" t="n">
        <v>3</v>
      </c>
      <c r="D158" s="17" t="inlineStr">
        <is>
          <t>问题记录单</t>
        </is>
      </c>
      <c r="E158" s="15" t="inlineStr">
        <is>
          <t>Mandy</t>
        </is>
      </c>
      <c r="F158" s="45" t="n">
        <v>46366</v>
      </c>
      <c r="G158" s="45" t="n">
        <v>46366</v>
      </c>
      <c r="H158" s="15" t="n">
        <v>1</v>
      </c>
      <c r="I158" s="46" t="n">
        <v>0.5</v>
      </c>
      <c r="J158" s="17" t="inlineStr">
        <is>
          <t>人工主导</t>
        </is>
      </c>
      <c r="K158" s="17" t="inlineStr">
        <is>
          <t>8.1.1</t>
        </is>
      </c>
      <c r="L158" s="15" t="inlineStr">
        <is>
          <t>未开始</t>
        </is>
      </c>
      <c r="M158" s="20" t="n">
        <v>0</v>
      </c>
      <c r="N158" s="15" t="inlineStr">
        <is>
          <t>中</t>
        </is>
      </c>
      <c r="O158" s="21" t="n"/>
      <c r="P158" s="21" t="n"/>
      <c r="Q158" s="17" t="inlineStr"/>
    </row>
    <row r="159">
      <c r="A159" s="15" t="inlineStr">
        <is>
          <t>8.2.2</t>
        </is>
      </c>
      <c r="B159" s="22" t="inlineStr">
        <is>
          <t>CC核心场景业务确认（业务方）</t>
        </is>
      </c>
      <c r="C159" s="15" t="n">
        <v>3</v>
      </c>
      <c r="D159" s="17" t="inlineStr">
        <is>
          <t>业务确认单</t>
        </is>
      </c>
      <c r="E159" s="15" t="inlineStr">
        <is>
          <t>Mandy</t>
        </is>
      </c>
      <c r="F159" s="45" t="n">
        <v>46367</v>
      </c>
      <c r="G159" s="45" t="n">
        <v>46367</v>
      </c>
      <c r="H159" s="15" t="n">
        <v>1</v>
      </c>
      <c r="I159" s="46" t="n">
        <v>1</v>
      </c>
      <c r="J159" s="17" t="inlineStr">
        <is>
          <t>人工主导</t>
        </is>
      </c>
      <c r="K159" s="17" t="inlineStr">
        <is>
          <t>8.1.4</t>
        </is>
      </c>
      <c r="L159" s="15" t="inlineStr">
        <is>
          <t>未开始</t>
        </is>
      </c>
      <c r="M159" s="20" t="n">
        <v>0</v>
      </c>
      <c r="N159" s="15" t="inlineStr">
        <is>
          <t>高</t>
        </is>
      </c>
      <c r="O159" s="21" t="n"/>
      <c r="P159" s="21" t="n"/>
      <c r="Q159" s="17" t="inlineStr"/>
    </row>
    <row r="160">
      <c r="A160" s="15" t="inlineStr">
        <is>
          <t>8.2.3</t>
        </is>
      </c>
      <c r="B160" s="22" t="inlineStr">
        <is>
          <t>上线Checklist执行与交付物核对</t>
        </is>
      </c>
      <c r="C160" s="15" t="n">
        <v>3</v>
      </c>
      <c r="D160" s="17" t="inlineStr">
        <is>
          <t>上线Checklist、交付物清单</t>
        </is>
      </c>
      <c r="E160" s="15" t="inlineStr">
        <is>
          <t>Mandy</t>
        </is>
      </c>
      <c r="F160" s="45" t="n">
        <v>46370</v>
      </c>
      <c r="G160" s="45" t="n">
        <v>46371</v>
      </c>
      <c r="H160" s="15" t="n">
        <v>2</v>
      </c>
      <c r="I160" s="46" t="n">
        <v>1</v>
      </c>
      <c r="J160" s="17" t="inlineStr">
        <is>
          <t>AI辅助</t>
        </is>
      </c>
      <c r="K160" s="17" t="inlineStr">
        <is>
          <t>8.2.2</t>
        </is>
      </c>
      <c r="L160" s="15" t="inlineStr">
        <is>
          <t>未开始</t>
        </is>
      </c>
      <c r="M160" s="20" t="n">
        <v>0</v>
      </c>
      <c r="N160" s="15" t="inlineStr">
        <is>
          <t>高</t>
        </is>
      </c>
      <c r="O160" s="21" t="n"/>
      <c r="P160" s="21" t="n"/>
      <c r="Q160" s="17" t="inlineStr">
        <is>
          <t>SLC交付物逐项核对</t>
        </is>
      </c>
    </row>
    <row r="161">
      <c r="A161" s="15" t="inlineStr">
        <is>
          <t>8.2.4</t>
        </is>
      </c>
      <c r="B161" s="22" t="inlineStr">
        <is>
          <t>项目复盘与经验教训文档（AI辅助成文）</t>
        </is>
      </c>
      <c r="C161" s="15" t="n">
        <v>3</v>
      </c>
      <c r="D161" s="17" t="inlineStr">
        <is>
          <t>经验教训文档</t>
        </is>
      </c>
      <c r="E161" s="15" t="inlineStr">
        <is>
          <t>Mandy</t>
        </is>
      </c>
      <c r="F161" s="45" t="n">
        <v>46372</v>
      </c>
      <c r="G161" s="45" t="n">
        <v>46372</v>
      </c>
      <c r="H161" s="15" t="n">
        <v>1</v>
      </c>
      <c r="I161" s="46" t="n">
        <v>1</v>
      </c>
      <c r="J161" s="17" t="inlineStr">
        <is>
          <t>AI辅助</t>
        </is>
      </c>
      <c r="K161" s="17" t="inlineStr">
        <is>
          <t>8.2.3</t>
        </is>
      </c>
      <c r="L161" s="15" t="inlineStr">
        <is>
          <t>未开始</t>
        </is>
      </c>
      <c r="M161" s="20" t="n">
        <v>0</v>
      </c>
      <c r="N161" s="15" t="inlineStr">
        <is>
          <t>中</t>
        </is>
      </c>
      <c r="O161" s="21" t="n"/>
      <c r="P161" s="21" t="n"/>
      <c r="Q161" s="17" t="inlineStr"/>
    </row>
    <row r="162">
      <c r="A162" s="15" t="inlineStr">
        <is>
          <t>8.2.5</t>
        </is>
      </c>
      <c r="B162" s="22" t="inlineStr">
        <is>
          <t>上线值守（应用侧）+交付物归档</t>
        </is>
      </c>
      <c r="C162" s="15" t="n">
        <v>3</v>
      </c>
      <c r="D162" s="17" t="inlineStr">
        <is>
          <t>值守记录、归档清单</t>
        </is>
      </c>
      <c r="E162" s="15" t="inlineStr">
        <is>
          <t>Wade</t>
        </is>
      </c>
      <c r="F162" s="45" t="n">
        <v>46370</v>
      </c>
      <c r="G162" s="45" t="n">
        <v>46372</v>
      </c>
      <c r="H162" s="15" t="n">
        <v>3</v>
      </c>
      <c r="I162" s="46" t="n">
        <v>3</v>
      </c>
      <c r="J162" s="17" t="inlineStr">
        <is>
          <t>人工主导</t>
        </is>
      </c>
      <c r="K162" s="17" t="inlineStr">
        <is>
          <t>8.1.4</t>
        </is>
      </c>
      <c r="L162" s="15" t="inlineStr">
        <is>
          <t>未开始</t>
        </is>
      </c>
      <c r="M162" s="20" t="n">
        <v>0</v>
      </c>
      <c r="N162" s="15" t="inlineStr">
        <is>
          <t>高</t>
        </is>
      </c>
      <c r="O162" s="21" t="n"/>
      <c r="P162" s="21" t="n"/>
      <c r="Q162" s="17" t="inlineStr">
        <is>
          <t>12/14~12/16值守窗口</t>
        </is>
      </c>
    </row>
    <row r="163">
      <c r="A163" s="15" t="inlineStr">
        <is>
          <t>8.2.6</t>
        </is>
      </c>
      <c r="B163" s="22" t="inlineStr">
        <is>
          <t>上线值守（数据侧）+交付物归档</t>
        </is>
      </c>
      <c r="C163" s="15" t="n">
        <v>3</v>
      </c>
      <c r="D163" s="17" t="inlineStr">
        <is>
          <t>值守记录、归档清单</t>
        </is>
      </c>
      <c r="E163" s="15" t="inlineStr">
        <is>
          <t>DevB</t>
        </is>
      </c>
      <c r="F163" s="45" t="n">
        <v>46372</v>
      </c>
      <c r="G163" s="45" t="n">
        <v>46372</v>
      </c>
      <c r="H163" s="15" t="n">
        <v>1</v>
      </c>
      <c r="I163" s="46" t="n">
        <v>1</v>
      </c>
      <c r="J163" s="17" t="inlineStr">
        <is>
          <t>人工主导</t>
        </is>
      </c>
      <c r="K163" s="17" t="inlineStr">
        <is>
          <t>8.1.3</t>
        </is>
      </c>
      <c r="L163" s="15" t="inlineStr">
        <is>
          <t>未开始</t>
        </is>
      </c>
      <c r="M163" s="20" t="n">
        <v>0</v>
      </c>
      <c r="N163" s="15" t="inlineStr">
        <is>
          <t>高</t>
        </is>
      </c>
      <c r="O163" s="21" t="n"/>
      <c r="P163" s="21" t="n"/>
      <c r="Q163" s="17" t="inlineStr"/>
    </row>
    <row r="164">
      <c r="A164" s="23" t="inlineStr">
        <is>
          <t>8.2.7</t>
        </is>
      </c>
      <c r="B164" s="24" t="inlineStr">
        <is>
          <t>生产上线成功·项目交付完成◆M7</t>
        </is>
      </c>
      <c r="C164" s="23" t="n">
        <v>3</v>
      </c>
      <c r="D164" s="25" t="inlineStr">
        <is>
          <t>交付确认单（签字）</t>
        </is>
      </c>
      <c r="E164" s="23" t="inlineStr">
        <is>
          <t>Mark</t>
        </is>
      </c>
      <c r="F164" s="47" t="n">
        <v>46372</v>
      </c>
      <c r="G164" s="47" t="n">
        <v>46372</v>
      </c>
      <c r="H164" s="23" t="n">
        <v>1</v>
      </c>
      <c r="I164" s="48" t="n">
        <v>0</v>
      </c>
      <c r="J164" s="25" t="inlineStr">
        <is>
          <t>人工主导</t>
        </is>
      </c>
      <c r="K164" s="25" t="inlineStr">
        <is>
          <t>8.1.2;8.1.4</t>
        </is>
      </c>
      <c r="L164" s="23" t="inlineStr">
        <is>
          <t>未开始</t>
        </is>
      </c>
      <c r="M164" s="28" t="n">
        <v>0</v>
      </c>
      <c r="N164" s="23" t="inlineStr">
        <is>
          <t>高</t>
        </is>
      </c>
      <c r="O164" s="29" t="n"/>
      <c r="P164" s="29" t="n"/>
      <c r="Q164" s="25" t="inlineStr">
        <is>
          <t>★M7 12/16项目结束；工作量计入1.3.1</t>
        </is>
      </c>
    </row>
  </sheetData>
  <autoFilter ref="A3:Q164"/>
  <mergeCells count="6">
    <mergeCell ref="I2:K2"/>
    <mergeCell ref="A2:E2"/>
    <mergeCell ref="F2:H2"/>
    <mergeCell ref="L2:N2"/>
    <mergeCell ref="O2:Q2"/>
    <mergeCell ref="A1:Q1"/>
  </mergeCells>
  <conditionalFormatting sqref="L4:L164">
    <cfRule type="expression" priority="1" dxfId="0">
      <formula>$L4="已完成"</formula>
    </cfRule>
    <cfRule type="expression" priority="2" dxfId="1">
      <formula>$L4="进行中"</formula>
    </cfRule>
    <cfRule type="expression" priority="3" dxfId="2">
      <formula>$L4="已延期"</formula>
    </cfRule>
    <cfRule type="expression" priority="4" dxfId="3">
      <formula>$L4="暂停"</formula>
    </cfRule>
  </conditionalFormatting>
  <conditionalFormatting sqref="A4:Q164">
    <cfRule type="expression" priority="5" dxfId="4">
      <formula>AND($G4&lt;&gt;"",$G4&lt;TODAY(),$L4&lt;&gt;"已完成",$A4&lt;&gt;"")</formula>
    </cfRule>
  </conditionalFormatting>
  <conditionalFormatting sqref="M4:M164">
    <cfRule type="dataBar" priority="6">
      <dataBar showValue="1">
        <cfvo type="num" val="0"/>
        <cfvo type="num" val="1"/>
        <color rgb="00638EC6"/>
      </dataBar>
    </cfRule>
  </conditionalFormatting>
  <dataValidations count="4">
    <dataValidation sqref="L4:L164" showDropDown="0" showInputMessage="0" showErrorMessage="0" allowBlank="1" type="list">
      <formula1>"未开始,进行中,已完成,已延期,暂停"</formula1>
    </dataValidation>
    <dataValidation sqref="N4:N164" showDropDown="0" showInputMessage="0" showErrorMessage="0" allowBlank="1" type="list">
      <formula1>"高,中,低"</formula1>
    </dataValidation>
    <dataValidation sqref="C4:C164" showDropDown="0" showInputMessage="0" showErrorMessage="0" allowBlank="1" type="whole" operator="between">
      <formula1>1</formula1>
      <formula2>3</formula2>
    </dataValidation>
    <dataValidation sqref="M4:M164" showDropDown="0" showInputMessage="0" showErrorMessage="0" allowBlank="1" type="decimal" operator="between">
      <formula1>0</formula1>
      <formula2>1</formula2>
    </dataValidation>
  </dataValidations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7030A0"/>
    <outlinePr summaryBelow="1" summaryRight="1"/>
    <pageSetUpPr/>
  </sheetPr>
  <dimension ref="A1:K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5" customWidth="1" min="2" max="2"/>
    <col width="18" customWidth="1" min="3" max="3"/>
    <col width="13" customWidth="1" min="4" max="4"/>
    <col width="22" customWidth="1" min="5" max="5"/>
    <col width="42" customWidth="1" min="6" max="6"/>
    <col width="10" customWidth="1" min="7" max="7"/>
    <col width="11" customWidth="1" min="8" max="8"/>
    <col width="10" customWidth="1" min="9" max="9"/>
    <col width="8" customWidth="1" min="10" max="10"/>
    <col width="14" customWidth="1" min="11" max="11"/>
  </cols>
  <sheetData>
    <row r="1" ht="26" customHeight="1">
      <c r="A1" s="5" t="inlineStr">
        <is>
          <t>26项功能覆盖对照（源文件Scope-Phase1 ↔ WBS，逐项可追溯）</t>
        </is>
      </c>
    </row>
    <row r="2">
      <c r="A2" s="7" t="inlineStr">
        <is>
          <t>功能编号</t>
        </is>
      </c>
      <c r="B2" s="7" t="inlineStr">
        <is>
          <t>模块</t>
        </is>
      </c>
      <c r="C2" s="7" t="inlineStr">
        <is>
          <t>业务场景</t>
        </is>
      </c>
      <c r="D2" s="7" t="inlineStr">
        <is>
          <t>关键功能</t>
        </is>
      </c>
      <c r="E2" s="7" t="inlineStr">
        <is>
          <t>具体功能（与源文件一致）</t>
        </is>
      </c>
      <c r="F2" s="7" t="inlineStr">
        <is>
          <t>功能描述（源文件）</t>
        </is>
      </c>
      <c r="G2" s="7" t="inlineStr">
        <is>
          <t>主开发任务(WBS)</t>
        </is>
      </c>
      <c r="H2" s="7" t="inlineStr">
        <is>
          <t>界面/协作任务(WBS)</t>
        </is>
      </c>
      <c r="I2" s="7" t="inlineStr">
        <is>
          <t>走查任务(WBS)</t>
        </is>
      </c>
      <c r="J2" s="7" t="inlineStr">
        <is>
          <t>全量测试</t>
        </is>
      </c>
      <c r="K2" s="7" t="inlineStr">
        <is>
          <t>开发负责人 / 计划完成</t>
        </is>
      </c>
    </row>
    <row r="3" ht="40" customHeight="1">
      <c r="A3" s="30" t="inlineStr">
        <is>
          <t>F01-01</t>
        </is>
      </c>
      <c r="B3" s="31" t="inlineStr">
        <is>
          <t>模块1·存量历史数据迁移与标准化</t>
        </is>
      </c>
      <c r="C3" s="31" t="inlineStr">
        <is>
          <t>退役系统历史数据全量入库归档</t>
        </is>
      </c>
      <c r="D3" s="31" t="inlineStr">
        <is>
          <t>历史数据批量导入</t>
        </is>
      </c>
      <c r="E3" s="31" t="inlineStr">
        <is>
          <t>结构化历史数据批量导入</t>
        </is>
      </c>
      <c r="F3" s="31" t="inlineStr">
        <is>
          <t>支持从退役系统批量提取结构化历史数据，并按照既定迁移范围和映射规则导入RIMS。</t>
        </is>
      </c>
      <c r="G3" s="30" t="inlineStr">
        <is>
          <t>4.2.1</t>
        </is>
      </c>
      <c r="H3" s="30" t="inlineStr">
        <is>
          <t>4.3.1</t>
        </is>
      </c>
      <c r="I3" s="30" t="inlineStr">
        <is>
          <t>4.4.4</t>
        </is>
      </c>
      <c r="J3" s="30" t="inlineStr">
        <is>
          <t>7.1.1</t>
        </is>
      </c>
      <c r="K3" s="31" t="inlineStr">
        <is>
          <t>DevB / 10/13</t>
        </is>
      </c>
    </row>
    <row r="4" ht="40" customHeight="1">
      <c r="A4" s="15" t="inlineStr">
        <is>
          <t>F01-02</t>
        </is>
      </c>
      <c r="B4" s="32" t="inlineStr">
        <is>
          <t>模块1·存量历史数据迁移与标准化</t>
        </is>
      </c>
      <c r="C4" s="32" t="inlineStr">
        <is>
          <t>退役系统历史数据全量入库归档</t>
        </is>
      </c>
      <c r="D4" s="32" t="inlineStr">
        <is>
          <t>历史数据批量导入</t>
        </is>
      </c>
      <c r="E4" s="32" t="inlineStr">
        <is>
          <t>非结构化文件及离线包批量导入</t>
        </is>
      </c>
      <c r="F4" s="32" t="inlineStr">
        <is>
          <t>支持从多种文件来源和离线介质批量导入附件、普通文件、数据库备份包及压缩归档包，并保障大文件及传输中断场景下的可靠导入、原始属性保留和文件包解析。</t>
        </is>
      </c>
      <c r="G4" s="15" t="inlineStr">
        <is>
          <t>4.2.2</t>
        </is>
      </c>
      <c r="H4" s="15" t="inlineStr">
        <is>
          <t>4.3.1</t>
        </is>
      </c>
      <c r="I4" s="15" t="inlineStr">
        <is>
          <t>4.4.4</t>
        </is>
      </c>
      <c r="J4" s="15" t="inlineStr">
        <is>
          <t>7.1.1</t>
        </is>
      </c>
      <c r="K4" s="32" t="inlineStr">
        <is>
          <t>DevB / 10/14</t>
        </is>
      </c>
    </row>
    <row r="5" ht="40" customHeight="1">
      <c r="A5" s="30" t="inlineStr">
        <is>
          <t>F01-03</t>
        </is>
      </c>
      <c r="B5" s="31" t="inlineStr">
        <is>
          <t>模块1·存量历史数据迁移与标准化</t>
        </is>
      </c>
      <c r="C5" s="31" t="inlineStr">
        <is>
          <t>退役系统历史数据全量入库归档</t>
        </is>
      </c>
      <c r="D5" s="31" t="inlineStr">
        <is>
          <t>迁移规则配置</t>
        </is>
      </c>
      <c r="E5" s="31" t="inlineStr">
        <is>
          <t>数据导入规则配置</t>
        </is>
      </c>
      <c r="F5" s="31" t="inlineStr">
        <is>
          <t>面向退役系统迁移项目，配置源数据与RIMS标准字段的对应关系、格式转换和校验规则，并在导入过程中执行。</t>
        </is>
      </c>
      <c r="G5" s="30" t="inlineStr">
        <is>
          <t>4.2.3</t>
        </is>
      </c>
      <c r="H5" s="30" t="inlineStr">
        <is>
          <t>4.3.1</t>
        </is>
      </c>
      <c r="I5" s="30" t="inlineStr">
        <is>
          <t>4.4.4</t>
        </is>
      </c>
      <c r="J5" s="30" t="inlineStr">
        <is>
          <t>7.1.1</t>
        </is>
      </c>
      <c r="K5" s="31" t="inlineStr">
        <is>
          <t>DevB / 10/15</t>
        </is>
      </c>
    </row>
    <row r="6" ht="40" customHeight="1">
      <c r="A6" s="15" t="inlineStr">
        <is>
          <t>F01-04</t>
        </is>
      </c>
      <c r="B6" s="32" t="inlineStr">
        <is>
          <t>模块1·存量历史数据迁移与标准化</t>
        </is>
      </c>
      <c r="C6" s="32" t="inlineStr">
        <is>
          <t>确保迁移过程数据完整可追溯</t>
        </is>
      </c>
      <c r="D6" s="32" t="inlineStr">
        <is>
          <t>迁移完整性校验</t>
        </is>
      </c>
      <c r="E6" s="32" t="inlineStr">
        <is>
          <t>迁移前完整性基准记录</t>
        </is>
      </c>
      <c r="F6" s="32" t="inlineStr">
        <is>
          <t>在迁移前记录文件或数据集的完整性校验信息，作为迁移完成后的比对基准。</t>
        </is>
      </c>
      <c r="G6" s="15" t="inlineStr">
        <is>
          <t>4.2.5</t>
        </is>
      </c>
      <c r="H6" s="15" t="inlineStr">
        <is>
          <t>4.3.1</t>
        </is>
      </c>
      <c r="I6" s="15" t="inlineStr">
        <is>
          <t>4.4.4</t>
        </is>
      </c>
      <c r="J6" s="15" t="inlineStr">
        <is>
          <t>7.1.1</t>
        </is>
      </c>
      <c r="K6" s="32" t="inlineStr">
        <is>
          <t>DevB / 10/20</t>
        </is>
      </c>
    </row>
    <row r="7" ht="40" customHeight="1">
      <c r="A7" s="30" t="inlineStr">
        <is>
          <t>F01-05</t>
        </is>
      </c>
      <c r="B7" s="31" t="inlineStr">
        <is>
          <t>模块1·存量历史数据迁移与标准化</t>
        </is>
      </c>
      <c r="C7" s="31" t="inlineStr">
        <is>
          <t>确保迁移过程数据完整可追溯</t>
        </is>
      </c>
      <c r="D7" s="31" t="inlineStr">
        <is>
          <t>迁移完整性校验</t>
        </is>
      </c>
      <c r="E7" s="31" t="inlineStr">
        <is>
          <t>迁移后完整性比对</t>
        </is>
      </c>
      <c r="F7" s="31" t="inlineStr">
        <is>
          <t>迁移完成后对源端与目标端数据进行完整性比对，识别缺失、损坏或异常变更。</t>
        </is>
      </c>
      <c r="G7" s="30" t="inlineStr">
        <is>
          <t>4.2.5</t>
        </is>
      </c>
      <c r="H7" s="30" t="inlineStr">
        <is>
          <t>4.3.1</t>
        </is>
      </c>
      <c r="I7" s="30" t="inlineStr">
        <is>
          <t>4.4.4</t>
        </is>
      </c>
      <c r="J7" s="30" t="inlineStr">
        <is>
          <t>7.1.1</t>
        </is>
      </c>
      <c r="K7" s="31" t="inlineStr">
        <is>
          <t>DevB / 10/20</t>
        </is>
      </c>
    </row>
    <row r="8" ht="40" customHeight="1">
      <c r="A8" s="15" t="inlineStr">
        <is>
          <t>F02-01</t>
        </is>
      </c>
      <c r="B8" s="32" t="inlineStr">
        <is>
          <t>模块2·实时数据接入与常态化数据治理</t>
        </is>
      </c>
      <c r="C8" s="32" t="inlineStr">
        <is>
          <t>多源异构数据接入与元数据标准化规整</t>
        </is>
      </c>
      <c r="D8" s="32" t="inlineStr">
        <is>
          <t>元数据标准与来源管理</t>
        </is>
      </c>
      <c r="E8" s="32" t="inlineStr">
        <is>
          <t>统一元数据模型</t>
        </is>
      </c>
      <c r="F8" s="32" t="inlineStr">
        <is>
          <t>建立统一元数据字段体系，明确字段定义、数据类型、取值规则和必填要求，包括来源系统、业务域、记录类型、创建时间、责任人、保留等级和密级等。</t>
        </is>
      </c>
      <c r="G8" s="15" t="inlineStr">
        <is>
          <t>4.2.6</t>
        </is>
      </c>
      <c r="H8" s="15" t="inlineStr">
        <is>
          <t>5.2.1</t>
        </is>
      </c>
      <c r="I8" s="15" t="inlineStr">
        <is>
          <t>5.3.2</t>
        </is>
      </c>
      <c r="J8" s="15" t="inlineStr">
        <is>
          <t>7.1.1</t>
        </is>
      </c>
      <c r="K8" s="32" t="inlineStr">
        <is>
          <t>DevB / 10/22</t>
        </is>
      </c>
    </row>
    <row r="9" ht="40" customHeight="1">
      <c r="A9" s="30" t="inlineStr">
        <is>
          <t>F02-02</t>
        </is>
      </c>
      <c r="B9" s="31" t="inlineStr">
        <is>
          <t>模块2·实时数据接入与常态化数据治理</t>
        </is>
      </c>
      <c r="C9" s="31" t="inlineStr">
        <is>
          <t>多源异构数据接入与元数据标准化规整</t>
        </is>
      </c>
      <c r="D9" s="31" t="inlineStr">
        <is>
          <t>元数据标准与来源管理</t>
        </is>
      </c>
      <c r="E9" s="31" t="inlineStr">
        <is>
          <t>来源系统信息绑定</t>
        </is>
      </c>
      <c r="F9" s="31" t="inlineStr">
        <is>
          <t>在记录接入和入库时引用统一源系统编码，并绑定退役项目、迁移批次等来源属性，支持按来源检索和统计。</t>
        </is>
      </c>
      <c r="G9" s="30" t="inlineStr">
        <is>
          <t>4.2.6</t>
        </is>
      </c>
      <c r="H9" s="30" t="inlineStr">
        <is>
          <t>5.2.1</t>
        </is>
      </c>
      <c r="I9" s="30" t="inlineStr">
        <is>
          <t>5.3.2</t>
        </is>
      </c>
      <c r="J9" s="30" t="inlineStr">
        <is>
          <t>7.1.1</t>
        </is>
      </c>
      <c r="K9" s="31" t="inlineStr">
        <is>
          <t>DevB / 10/22</t>
        </is>
      </c>
    </row>
    <row r="10" ht="40" customHeight="1">
      <c r="A10" s="15" t="inlineStr">
        <is>
          <t>F03-01</t>
        </is>
      </c>
      <c r="B10" s="32" t="inlineStr">
        <is>
          <t>模块3·记录归档与档案全生命周期管理</t>
        </is>
      </c>
      <c r="C10" s="32" t="inlineStr">
        <is>
          <t>归档记录定期删除与合规保留</t>
        </is>
      </c>
      <c r="D10" s="32" t="inlineStr">
        <is>
          <t>到期处置与Legal Hold管理</t>
        </is>
      </c>
      <c r="E10" s="32" t="inlineStr">
        <is>
          <t>保留期限到期自动删除</t>
        </is>
      </c>
      <c r="F10" s="32" t="inlineStr">
        <is>
          <t>根据预设保留策略，对到期归档记录执行自动删除或标记销毁。</t>
        </is>
      </c>
      <c r="G10" s="15" t="inlineStr">
        <is>
          <t>5.2.5</t>
        </is>
      </c>
      <c r="H10" s="15" t="inlineStr">
        <is>
          <t>5.1.5</t>
        </is>
      </c>
      <c r="I10" s="15" t="inlineStr">
        <is>
          <t>5.3.9</t>
        </is>
      </c>
      <c r="J10" s="15" t="inlineStr">
        <is>
          <t>7.1.1</t>
        </is>
      </c>
      <c r="K10" s="32" t="inlineStr">
        <is>
          <t>DevB / 11/04</t>
        </is>
      </c>
    </row>
    <row r="11" ht="40" customHeight="1">
      <c r="A11" s="30" t="inlineStr">
        <is>
          <t>F03-02</t>
        </is>
      </c>
      <c r="B11" s="31" t="inlineStr">
        <is>
          <t>模块3·记录归档与档案全生命周期管理</t>
        </is>
      </c>
      <c r="C11" s="31" t="inlineStr">
        <is>
          <t>归档记录定期删除与合规保留</t>
        </is>
      </c>
      <c r="D11" s="31" t="inlineStr">
        <is>
          <t>到期处置与Legal Hold管理</t>
        </is>
      </c>
      <c r="E11" s="31" t="inlineStr">
        <is>
          <t>Legal Hold 冻结</t>
        </is>
      </c>
      <c r="F11" s="31" t="inlineStr">
        <is>
          <t>对涉诉、审计或合规调查中的记录设置Legal Hold，暂停删除和修改。</t>
        </is>
      </c>
      <c r="G11" s="30" t="inlineStr">
        <is>
          <t>5.2.6</t>
        </is>
      </c>
      <c r="H11" s="30" t="inlineStr">
        <is>
          <t>5.1.5</t>
        </is>
      </c>
      <c r="I11" s="30" t="inlineStr">
        <is>
          <t>5.3.9</t>
        </is>
      </c>
      <c r="J11" s="30" t="inlineStr">
        <is>
          <t>7.1.1</t>
        </is>
      </c>
      <c r="K11" s="31" t="inlineStr">
        <is>
          <t>DevB / 11/05</t>
        </is>
      </c>
    </row>
    <row r="12" ht="40" customHeight="1">
      <c r="A12" s="15" t="inlineStr">
        <is>
          <t>F04-01</t>
        </is>
      </c>
      <c r="B12" s="32" t="inlineStr">
        <is>
          <t>模块4·数据存储与境内数据安全管控</t>
        </is>
      </c>
      <c r="C12" s="32" t="inlineStr">
        <is>
          <t>满足数据不出境和本地化合规要求</t>
        </is>
      </c>
      <c r="D12" s="32" t="inlineStr">
        <is>
          <t>数据加密与密钥管理</t>
        </is>
      </c>
      <c r="E12" s="32" t="inlineStr">
        <is>
          <t>数据加密存储</t>
        </is>
      </c>
      <c r="F12" s="32" t="inlineStr">
        <is>
          <t>支持归档数据在存储和传输过程中的加密保护，防止未授权读取和数据泄露。</t>
        </is>
      </c>
      <c r="G12" s="15" t="inlineStr">
        <is>
          <t>5.2.2</t>
        </is>
      </c>
      <c r="H12" s="15" t="inlineStr">
        <is>
          <t>—</t>
        </is>
      </c>
      <c r="I12" s="15" t="inlineStr">
        <is>
          <t>5.3.9</t>
        </is>
      </c>
      <c r="J12" s="15" t="inlineStr">
        <is>
          <t>7.1.1</t>
        </is>
      </c>
      <c r="K12" s="32" t="inlineStr">
        <is>
          <t>DevB / 10/28</t>
        </is>
      </c>
    </row>
    <row r="13" ht="40" customHeight="1">
      <c r="A13" s="30" t="inlineStr">
        <is>
          <t>F04-02</t>
        </is>
      </c>
      <c r="B13" s="31" t="inlineStr">
        <is>
          <t>模块4·数据存储与境内数据安全管控</t>
        </is>
      </c>
      <c r="C13" s="31" t="inlineStr">
        <is>
          <t>满足数据不出境和本地化合规要求</t>
        </is>
      </c>
      <c r="D13" s="31" t="inlineStr">
        <is>
          <t>数据加密与密钥管理</t>
        </is>
      </c>
      <c r="E13" s="31" t="inlineStr">
        <is>
          <t>密钥管理</t>
        </is>
      </c>
      <c r="F13" s="31" t="inlineStr">
        <is>
          <t>支持加密密钥的创建、保管、更新、权限控制和操作审计。</t>
        </is>
      </c>
      <c r="G13" s="30" t="inlineStr">
        <is>
          <t>5.2.3</t>
        </is>
      </c>
      <c r="H13" s="30" t="inlineStr">
        <is>
          <t>—</t>
        </is>
      </c>
      <c r="I13" s="30" t="inlineStr">
        <is>
          <t>5.3.9</t>
        </is>
      </c>
      <c r="J13" s="30" t="inlineStr">
        <is>
          <t>7.1.1</t>
        </is>
      </c>
      <c r="K13" s="31" t="inlineStr">
        <is>
          <t>DevB / 10/30</t>
        </is>
      </c>
    </row>
    <row r="14" ht="40" customHeight="1">
      <c r="A14" s="15" t="inlineStr">
        <is>
          <t>F04-03</t>
        </is>
      </c>
      <c r="B14" s="32" t="inlineStr">
        <is>
          <t>模块4·数据存储与境内数据安全管控</t>
        </is>
      </c>
      <c r="C14" s="32" t="inlineStr">
        <is>
          <t>确保归档数据可恢复</t>
        </is>
      </c>
      <c r="D14" s="32" t="inlineStr">
        <is>
          <t>数据备份与灾难恢复</t>
        </is>
      </c>
      <c r="E14" s="32" t="inlineStr">
        <is>
          <t>数据备份管理</t>
        </is>
      </c>
      <c r="F14" s="32" t="inlineStr">
        <is>
          <t>支持按照备份策略创建和维护归档数据副本，确保数据副本完整、可用并满足恢复需求。</t>
        </is>
      </c>
      <c r="G14" s="15" t="inlineStr">
        <is>
          <t>5.2.7</t>
        </is>
      </c>
      <c r="H14" s="15" t="inlineStr">
        <is>
          <t>—</t>
        </is>
      </c>
      <c r="I14" s="15" t="inlineStr">
        <is>
          <t>5.3.9</t>
        </is>
      </c>
      <c r="J14" s="15" t="inlineStr">
        <is>
          <t>7.1.1</t>
        </is>
      </c>
      <c r="K14" s="32" t="inlineStr">
        <is>
          <t>DevB / 11/06</t>
        </is>
      </c>
    </row>
    <row r="15" ht="40" customHeight="1">
      <c r="A15" s="30" t="inlineStr">
        <is>
          <t>F04-04</t>
        </is>
      </c>
      <c r="B15" s="31" t="inlineStr">
        <is>
          <t>模块4·数据存储与境内数据安全管控</t>
        </is>
      </c>
      <c r="C15" s="31" t="inlineStr">
        <is>
          <t>确保归档数据可恢复</t>
        </is>
      </c>
      <c r="D15" s="31" t="inlineStr">
        <is>
          <t>数据备份与灾难恢复</t>
        </is>
      </c>
      <c r="E15" s="31" t="inlineStr">
        <is>
          <t>异地灾备</t>
        </is>
      </c>
      <c r="F15" s="31" t="inlineStr">
        <is>
          <t>支持将数据副本与主要运行环境隔离保存，保障区域性灾害或重大故障情况下的数据恢复。</t>
        </is>
      </c>
      <c r="G15" s="30" t="inlineStr">
        <is>
          <t>5.2.8</t>
        </is>
      </c>
      <c r="H15" s="30" t="inlineStr">
        <is>
          <t>—</t>
        </is>
      </c>
      <c r="I15" s="30" t="inlineStr">
        <is>
          <t>5.3.9</t>
        </is>
      </c>
      <c r="J15" s="30" t="inlineStr">
        <is>
          <t>7.1.1</t>
        </is>
      </c>
      <c r="K15" s="31" t="inlineStr">
        <is>
          <t>DevB / 11/09</t>
        </is>
      </c>
    </row>
    <row r="16" ht="40" customHeight="1">
      <c r="A16" s="15" t="inlineStr">
        <is>
          <t>F05-01</t>
        </is>
      </c>
      <c r="B16" s="32" t="inlineStr">
        <is>
          <t>模块5·档案检索、智能发现与业务利用</t>
        </is>
      </c>
      <c r="C16" s="32" t="inlineStr">
        <is>
          <t>QA/IT人员日常基础数据查阅</t>
        </is>
      </c>
      <c r="D16" s="32" t="inlineStr">
        <is>
          <t>基础档案检索</t>
        </is>
      </c>
      <c r="E16" s="32" t="inlineStr">
        <is>
          <t>关键词检索</t>
        </is>
      </c>
      <c r="F16" s="32" t="inlineStr">
        <is>
          <t>支持对归档记录标题、元数据、OCR文本进行关键词检索。</t>
        </is>
      </c>
      <c r="G16" s="15" t="inlineStr">
        <is>
          <t>4.3.2</t>
        </is>
      </c>
      <c r="H16" s="15" t="inlineStr">
        <is>
          <t>—</t>
        </is>
      </c>
      <c r="I16" s="15" t="inlineStr">
        <is>
          <t>5.3.4</t>
        </is>
      </c>
      <c r="J16" s="15" t="inlineStr">
        <is>
          <t>7.1.1</t>
        </is>
      </c>
      <c r="K16" s="32" t="inlineStr">
        <is>
          <t>Wade / 10/22</t>
        </is>
      </c>
    </row>
    <row r="17" ht="40" customHeight="1">
      <c r="A17" s="23" t="inlineStr">
        <is>
          <t>F05-02</t>
        </is>
      </c>
      <c r="B17" s="33" t="inlineStr">
        <is>
          <t>模块5·档案检索、智能发现与业务利用</t>
        </is>
      </c>
      <c r="C17" s="33" t="inlineStr">
        <is>
          <t>QA/IT人员日常基础数据查阅</t>
        </is>
      </c>
      <c r="D17" s="33" t="inlineStr">
        <is>
          <t>基础档案检索</t>
        </is>
      </c>
      <c r="E17" s="33" t="inlineStr">
        <is>
          <t>按系统名称检索</t>
        </is>
      </c>
      <c r="F17" s="33" t="inlineStr">
        <is>
          <t>支持按来源系统名称筛选和检索对应归档数据。</t>
        </is>
      </c>
      <c r="G17" s="23" t="inlineStr">
        <is>
          <t>4.3.2</t>
        </is>
      </c>
      <c r="H17" s="23" t="inlineStr">
        <is>
          <t>—</t>
        </is>
      </c>
      <c r="I17" s="23" t="inlineStr">
        <is>
          <t>5.3.4</t>
        </is>
      </c>
      <c r="J17" s="23" t="inlineStr">
        <is>
          <t>7.1.1</t>
        </is>
      </c>
      <c r="K17" s="33" t="inlineStr">
        <is>
          <t>Wade / 10/22</t>
        </is>
      </c>
    </row>
    <row r="18" ht="40" customHeight="1">
      <c r="A18" s="15" t="inlineStr">
        <is>
          <t>F05-03</t>
        </is>
      </c>
      <c r="B18" s="32" t="inlineStr">
        <is>
          <t>模块5·档案检索、智能发现与业务利用</t>
        </is>
      </c>
      <c r="C18" s="32" t="inlineStr">
        <is>
          <t>QA/IT人员日常基础数据查阅</t>
        </is>
      </c>
      <c r="D18" s="32" t="inlineStr">
        <is>
          <t>基础档案检索</t>
        </is>
      </c>
      <c r="E18" s="32" t="inlineStr">
        <is>
          <t>按业务时间检索</t>
        </is>
      </c>
      <c r="F18" s="32" t="inlineStr">
        <is>
          <t>支持按创建时间、修改时间、业务发生时间等时间维度检索。</t>
        </is>
      </c>
      <c r="G18" s="15" t="inlineStr">
        <is>
          <t>4.3.2</t>
        </is>
      </c>
      <c r="H18" s="15" t="inlineStr">
        <is>
          <t>—</t>
        </is>
      </c>
      <c r="I18" s="15" t="inlineStr">
        <is>
          <t>5.3.4</t>
        </is>
      </c>
      <c r="J18" s="15" t="inlineStr">
        <is>
          <t>7.1.1</t>
        </is>
      </c>
      <c r="K18" s="32" t="inlineStr">
        <is>
          <t>Wade / 10/22</t>
        </is>
      </c>
    </row>
    <row r="19" ht="40" customHeight="1">
      <c r="A19" s="30" t="inlineStr">
        <is>
          <t>F05-04</t>
        </is>
      </c>
      <c r="B19" s="31" t="inlineStr">
        <is>
          <t>模块5·档案检索、智能发现与业务利用</t>
        </is>
      </c>
      <c r="C19" s="31" t="inlineStr">
        <is>
          <t>QA/IT人员日常基础数据查阅</t>
        </is>
      </c>
      <c r="D19" s="31" t="inlineStr">
        <is>
          <t>检索结果展示与预览</t>
        </is>
      </c>
      <c r="E19" s="31" t="inlineStr">
        <is>
          <t>检索结果列表展示</t>
        </is>
      </c>
      <c r="F19" s="31" t="inlineStr">
        <is>
          <t>以列表形式展示检索结果，支持结果分批查看、排序和关键字段展示。</t>
        </is>
      </c>
      <c r="G19" s="30" t="inlineStr">
        <is>
          <t>5.1.1</t>
        </is>
      </c>
      <c r="H19" s="30" t="inlineStr">
        <is>
          <t>—</t>
        </is>
      </c>
      <c r="I19" s="30" t="inlineStr">
        <is>
          <t>5.3.4</t>
        </is>
      </c>
      <c r="J19" s="30" t="inlineStr">
        <is>
          <t>7.1.1</t>
        </is>
      </c>
      <c r="K19" s="31" t="inlineStr">
        <is>
          <t>Wade / 10/27</t>
        </is>
      </c>
    </row>
    <row r="20" ht="40" customHeight="1">
      <c r="A20" s="15" t="inlineStr">
        <is>
          <t>F05-05</t>
        </is>
      </c>
      <c r="B20" s="32" t="inlineStr">
        <is>
          <t>模块5·档案检索、智能发现与业务利用</t>
        </is>
      </c>
      <c r="C20" s="32" t="inlineStr">
        <is>
          <t>QA/IT人员日常基础数据查阅</t>
        </is>
      </c>
      <c r="D20" s="32" t="inlineStr">
        <is>
          <t>检索结果展示与预览</t>
        </is>
      </c>
      <c r="E20" s="32" t="inlineStr">
        <is>
          <t>原始文件在线预览</t>
        </is>
      </c>
      <c r="F20" s="32" t="inlineStr">
        <is>
          <t>支持常见文档、图片及办公文件在线预览，无需下载即可查看内容。</t>
        </is>
      </c>
      <c r="G20" s="15" t="inlineStr">
        <is>
          <t>5.1.2</t>
        </is>
      </c>
      <c r="H20" s="15" t="inlineStr">
        <is>
          <t>—</t>
        </is>
      </c>
      <c r="I20" s="15" t="inlineStr">
        <is>
          <t>5.3.4</t>
        </is>
      </c>
      <c r="J20" s="15" t="inlineStr">
        <is>
          <t>7.1.1</t>
        </is>
      </c>
      <c r="K20" s="32" t="inlineStr">
        <is>
          <t>Wade / 10/29</t>
        </is>
      </c>
    </row>
    <row r="21" ht="40" customHeight="1">
      <c r="A21" s="30" t="inlineStr">
        <is>
          <t>F06-01</t>
        </is>
      </c>
      <c r="B21" s="31" t="inlineStr">
        <is>
          <t>模块6·合规管控、审计追踪与合规报表</t>
        </is>
      </c>
      <c r="C21" s="31" t="inlineStr">
        <is>
          <t>基础运维核查与简易审计调取</t>
        </is>
      </c>
      <c r="D21" s="31" t="inlineStr">
        <is>
          <t>用户操作审计追踪</t>
        </is>
      </c>
      <c r="E21" s="31" t="inlineStr">
        <is>
          <t>归档操作日志记录</t>
        </is>
      </c>
      <c r="F21" s="31" t="inlineStr">
        <is>
          <t>记录数据导入、上传、归档等操作，包含用户、时间、对象、结果。</t>
        </is>
      </c>
      <c r="G21" s="30" t="inlineStr">
        <is>
          <t>5.1.3</t>
        </is>
      </c>
      <c r="H21" s="30" t="inlineStr">
        <is>
          <t>—</t>
        </is>
      </c>
      <c r="I21" s="30" t="inlineStr">
        <is>
          <t>5.3.6</t>
        </is>
      </c>
      <c r="J21" s="30" t="inlineStr">
        <is>
          <t>7.1.1</t>
        </is>
      </c>
      <c r="K21" s="31" t="inlineStr">
        <is>
          <t>Wade / 11/02</t>
        </is>
      </c>
    </row>
    <row r="22" ht="40" customHeight="1">
      <c r="A22" s="15" t="inlineStr">
        <is>
          <t>F06-02</t>
        </is>
      </c>
      <c r="B22" s="32" t="inlineStr">
        <is>
          <t>模块6·合规管控、审计追踪与合规报表</t>
        </is>
      </c>
      <c r="C22" s="32" t="inlineStr">
        <is>
          <t>基础运维核查与简易审计调取</t>
        </is>
      </c>
      <c r="D22" s="32" t="inlineStr">
        <is>
          <t>用户操作审计追踪</t>
        </is>
      </c>
      <c r="E22" s="32" t="inlineStr">
        <is>
          <t>查询操作日志记录</t>
        </is>
      </c>
      <c r="F22" s="32" t="inlineStr">
        <is>
          <t>记录用户的检索、查看、预览行为，支持审计追溯。</t>
        </is>
      </c>
      <c r="G22" s="15" t="inlineStr">
        <is>
          <t>5.1.3</t>
        </is>
      </c>
      <c r="H22" s="15" t="inlineStr">
        <is>
          <t>—</t>
        </is>
      </c>
      <c r="I22" s="15" t="inlineStr">
        <is>
          <t>5.3.6</t>
        </is>
      </c>
      <c r="J22" s="15" t="inlineStr">
        <is>
          <t>7.1.1</t>
        </is>
      </c>
      <c r="K22" s="32" t="inlineStr">
        <is>
          <t>Wade / 11/02</t>
        </is>
      </c>
    </row>
    <row r="23" ht="40" customHeight="1">
      <c r="A23" s="30" t="inlineStr">
        <is>
          <t>F06-03</t>
        </is>
      </c>
      <c r="B23" s="31" t="inlineStr">
        <is>
          <t>模块6·合规管控、审计追踪与合规报表</t>
        </is>
      </c>
      <c r="C23" s="31" t="inlineStr">
        <is>
          <t>基础运维核查与简易审计调取</t>
        </is>
      </c>
      <c r="D23" s="31" t="inlineStr">
        <is>
          <t>用户操作审计追踪</t>
        </is>
      </c>
      <c r="E23" s="31" t="inlineStr">
        <is>
          <t>导出操作日志记录</t>
        </is>
      </c>
      <c r="F23" s="31" t="inlineStr">
        <is>
          <t>记录数据导出行为，包含导出范围、导出时间、导出人和下载IP。</t>
        </is>
      </c>
      <c r="G23" s="30" t="inlineStr">
        <is>
          <t>5.1.3</t>
        </is>
      </c>
      <c r="H23" s="30" t="inlineStr">
        <is>
          <t>—</t>
        </is>
      </c>
      <c r="I23" s="30" t="inlineStr">
        <is>
          <t>5.3.6</t>
        </is>
      </c>
      <c r="J23" s="30" t="inlineStr">
        <is>
          <t>7.1.1</t>
        </is>
      </c>
      <c r="K23" s="31" t="inlineStr">
        <is>
          <t>Wade / 11/02</t>
        </is>
      </c>
    </row>
    <row r="24" ht="40" customHeight="1">
      <c r="A24" s="15" t="inlineStr">
        <is>
          <t>F08-01</t>
        </is>
      </c>
      <c r="B24" s="32" t="inlineStr">
        <is>
          <t>模块8·系统全局治理、运维与监控</t>
        </is>
      </c>
      <c r="C24" s="32" t="inlineStr">
        <is>
          <t>基础运维核查与简易审计调取</t>
        </is>
      </c>
      <c r="D24" s="32" t="inlineStr">
        <is>
          <t>用户与角色管理</t>
        </is>
      </c>
      <c r="E24" s="32" t="inlineStr">
        <is>
          <t>基础角色权限配置</t>
        </is>
      </c>
      <c r="F24" s="32" t="inlineStr">
        <is>
          <t>配置管理员、查询员、审计员等基础角色，并按角色统一分配菜单权限、数据范围、记录类型和操作权限。</t>
        </is>
      </c>
      <c r="G24" s="15" t="inlineStr">
        <is>
          <t>4.1.1</t>
        </is>
      </c>
      <c r="H24" s="15" t="inlineStr">
        <is>
          <t>—</t>
        </is>
      </c>
      <c r="I24" s="15" t="inlineStr">
        <is>
          <t>4.4.4</t>
        </is>
      </c>
      <c r="J24" s="15" t="inlineStr">
        <is>
          <t>7.1.1</t>
        </is>
      </c>
      <c r="K24" s="32" t="inlineStr">
        <is>
          <t>Wade / 10/14</t>
        </is>
      </c>
    </row>
    <row r="25" ht="40" customHeight="1">
      <c r="A25" s="30" t="inlineStr">
        <is>
          <t>F08-02</t>
        </is>
      </c>
      <c r="B25" s="31" t="inlineStr">
        <is>
          <t>模块8·系统全局治理、运维与监控</t>
        </is>
      </c>
      <c r="C25" s="31" t="inlineStr">
        <is>
          <t>基础运维核查与简易审计调取</t>
        </is>
      </c>
      <c r="D25" s="31" t="inlineStr">
        <is>
          <t>用户与角色管理</t>
        </is>
      </c>
      <c r="E25" s="31" t="inlineStr">
        <is>
          <t>用户账号管理</t>
        </is>
      </c>
      <c r="F25" s="31" t="inlineStr">
        <is>
          <t>支持本地账号创建、启用/禁用、密码重置、账号有效期管理。</t>
        </is>
      </c>
      <c r="G25" s="30" t="inlineStr">
        <is>
          <t>4.1.1</t>
        </is>
      </c>
      <c r="H25" s="30" t="inlineStr">
        <is>
          <t>—</t>
        </is>
      </c>
      <c r="I25" s="30" t="inlineStr">
        <is>
          <t>4.4.4</t>
        </is>
      </c>
      <c r="J25" s="30" t="inlineStr">
        <is>
          <t>7.1.1</t>
        </is>
      </c>
      <c r="K25" s="31" t="inlineStr">
        <is>
          <t>Wade / 10/14</t>
        </is>
      </c>
    </row>
    <row r="26" ht="40" customHeight="1">
      <c r="A26" s="15" t="inlineStr">
        <is>
          <t>F08-03</t>
        </is>
      </c>
      <c r="B26" s="32" t="inlineStr">
        <is>
          <t>模块8·系统全局治理、运维与监控</t>
        </is>
      </c>
      <c r="C26" s="32" t="inlineStr">
        <is>
          <t>企业用户统一身份认证与系统访问</t>
        </is>
      </c>
      <c r="D26" s="32" t="inlineStr">
        <is>
          <t>SSO 单点登录</t>
        </is>
      </c>
      <c r="E26" s="32" t="inlineStr">
        <is>
          <t>企业SSO集成</t>
        </is>
      </c>
      <c r="F26" s="32" t="inlineStr">
        <is>
          <t>对接企业统一身份认证体系，支持用户通过企业账号完成身份认证并登录RIMS，无需维护独立登录凭证。</t>
        </is>
      </c>
      <c r="G26" s="15" t="inlineStr">
        <is>
          <t>4.1.2</t>
        </is>
      </c>
      <c r="H26" s="15" t="inlineStr">
        <is>
          <t>3.3.1</t>
        </is>
      </c>
      <c r="I26" s="15" t="inlineStr">
        <is>
          <t>4.4.4</t>
        </is>
      </c>
      <c r="J26" s="15" t="inlineStr">
        <is>
          <t>7.1.1</t>
        </is>
      </c>
      <c r="K26" s="32" t="inlineStr">
        <is>
          <t>Wade / 10/16</t>
        </is>
      </c>
    </row>
    <row r="27" ht="40" customHeight="1">
      <c r="A27" s="30" t="inlineStr">
        <is>
          <t>F08-04</t>
        </is>
      </c>
      <c r="B27" s="31" t="inlineStr">
        <is>
          <t>模块8·系统全局治理、运维与监控</t>
        </is>
      </c>
      <c r="C27" s="31" t="inlineStr">
        <is>
          <t>企业用户统一身份认证与系统访问</t>
        </is>
      </c>
      <c r="D27" s="31" t="inlineStr">
        <is>
          <t>SSO 单点登录</t>
        </is>
      </c>
      <c r="E27" s="31" t="inlineStr">
        <is>
          <t>用户身份自动识别与关联</t>
        </is>
      </c>
      <c r="F27" s="31" t="inlineStr">
        <is>
          <t>根据企业统一身份信息识别用户，并与RIMS中的用户及角色信息建立关联，为后续权限控制提供身份基础。</t>
        </is>
      </c>
      <c r="G27" s="30" t="inlineStr">
        <is>
          <t>4.1.2</t>
        </is>
      </c>
      <c r="H27" s="30" t="inlineStr">
        <is>
          <t>—</t>
        </is>
      </c>
      <c r="I27" s="30" t="inlineStr">
        <is>
          <t>4.4.4</t>
        </is>
      </c>
      <c r="J27" s="30" t="inlineStr">
        <is>
          <t>7.1.1</t>
        </is>
      </c>
      <c r="K27" s="31" t="inlineStr">
        <is>
          <t>Wade / 10/16</t>
        </is>
      </c>
    </row>
    <row r="28" ht="40" customHeight="1">
      <c r="A28" s="15" t="inlineStr">
        <is>
          <t>F08-05</t>
        </is>
      </c>
      <c r="B28" s="32" t="inlineStr">
        <is>
          <t>模块8·系统全局治理、运维与监控</t>
        </is>
      </c>
      <c r="C28" s="32" t="inlineStr">
        <is>
          <t>企业用户统一身份认证与系统访问</t>
        </is>
      </c>
      <c r="D28" s="32" t="inlineStr">
        <is>
          <t>SSO 单点登录</t>
        </is>
      </c>
      <c r="E28" s="32" t="inlineStr">
        <is>
          <t>登录状态与异常访问控制</t>
        </is>
      </c>
      <c r="F28" s="32" t="inlineStr">
        <is>
          <t>对用户登录状态及认证异常进行基础控制，认证失效或账号不可用时限制系统访问。</t>
        </is>
      </c>
      <c r="G28" s="15" t="inlineStr">
        <is>
          <t>4.1.3</t>
        </is>
      </c>
      <c r="H28" s="15" t="inlineStr">
        <is>
          <t>—</t>
        </is>
      </c>
      <c r="I28" s="15" t="inlineStr">
        <is>
          <t>4.4.4</t>
        </is>
      </c>
      <c r="J28" s="15" t="inlineStr">
        <is>
          <t>7.1.1</t>
        </is>
      </c>
      <c r="K28" s="32" t="inlineStr">
        <is>
          <t>Wade / 10/19</t>
        </is>
      </c>
    </row>
    <row r="29">
      <c r="A29" s="34" t="inlineStr">
        <is>
          <t>覆盖校验：源文件Scope-Phase1共26项功能，逐项对照WBS开发/协作/走查/测试任务，26/26全覆盖 ✓（本页由源文件自动解析生成，功能名与源文件完全一致）</t>
        </is>
      </c>
    </row>
  </sheetData>
  <mergeCells count="2">
    <mergeCell ref="A1:K1"/>
    <mergeCell ref="A29:K2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/>
  </sheetPr>
  <dimension ref="A1:P39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20" customWidth="1" min="3" max="3"/>
    <col width="24" customWidth="1" min="4" max="4"/>
    <col width="7" customWidth="1" min="5" max="5"/>
    <col width="24" customWidth="1" min="6" max="6"/>
    <col width="7" customWidth="1" min="7" max="7"/>
    <col width="24" customWidth="1" min="8" max="8"/>
    <col width="7" customWidth="1" min="9" max="9"/>
    <col width="22" customWidth="1" min="10" max="10"/>
    <col width="7" customWidth="1" min="11" max="11"/>
    <col width="14" customWidth="1" min="12" max="12"/>
    <col width="7" customWidth="1" min="13" max="13"/>
    <col width="8" customWidth="1" min="14" max="14"/>
    <col width="16" customWidth="1" min="15" max="15"/>
    <col width="10" customWidth="1" min="16" max="16"/>
  </cols>
  <sheetData>
    <row r="1" ht="26" customHeight="1">
      <c r="A1" s="1" t="inlineStr">
        <is>
          <t>功能视角分解（功能×角色矩阵）：每个功能由谁做什么、投入多少人天 — 与WBS/185人天完全对账</t>
        </is>
      </c>
    </row>
    <row r="2">
      <c r="A2" s="7" t="inlineStr">
        <is>
          <t>功能编号</t>
        </is>
      </c>
      <c r="B2" s="7" t="inlineStr">
        <is>
          <t>模块</t>
        </is>
      </c>
      <c r="C2" s="7" t="inlineStr">
        <is>
          <t>具体功能（与源文件一致）</t>
        </is>
      </c>
      <c r="D2" s="7" t="inlineStr">
        <is>
          <t>BA·需求（Mandy）</t>
        </is>
      </c>
      <c r="E2" s="7" t="inlineStr">
        <is>
          <t>BA人天</t>
        </is>
      </c>
      <c r="F2" s="7" t="inlineStr">
        <is>
          <t>开发A·Wade</t>
        </is>
      </c>
      <c r="G2" s="7" t="inlineStr">
        <is>
          <t>A人天</t>
        </is>
      </c>
      <c r="H2" s="7" t="inlineStr">
        <is>
          <t>开发B·DevB</t>
        </is>
      </c>
      <c r="I2" s="7" t="inlineStr">
        <is>
          <t>B人天</t>
        </is>
      </c>
      <c r="J2" s="7" t="inlineStr">
        <is>
          <t>测试·验证（Mandy）</t>
        </is>
      </c>
      <c r="K2" s="7" t="inlineStr">
        <is>
          <t>测试人天</t>
        </is>
      </c>
      <c r="L2" s="7" t="inlineStr">
        <is>
          <t>文档（Mandy）</t>
        </is>
      </c>
      <c r="M2" s="7" t="inlineStr">
        <is>
          <t>文档人天</t>
        </is>
      </c>
      <c r="N2" s="7" t="inlineStr">
        <is>
          <t>小计人天</t>
        </is>
      </c>
      <c r="O2" s="7" t="inlineStr">
        <is>
          <t>关联WBS任务</t>
        </is>
      </c>
      <c r="P2" s="7" t="inlineStr">
        <is>
          <t>计划完成</t>
        </is>
      </c>
    </row>
    <row r="3" ht="34" customHeight="1">
      <c r="A3" s="30" t="inlineStr">
        <is>
          <t>F01-01</t>
        </is>
      </c>
      <c r="B3" s="31" t="inlineStr">
        <is>
          <t>模块1·存量迁移</t>
        </is>
      </c>
      <c r="C3" s="31" t="inlineStr">
        <is>
          <t>结构化历史数据批量导入</t>
        </is>
      </c>
      <c r="D3" s="31" t="inlineStr">
        <is>
          <t>迁移范围/映射规则澄清与验收标准</t>
        </is>
      </c>
      <c r="E3" s="49" t="n">
        <v>0.25</v>
      </c>
      <c r="F3" s="31" t="inlineStr">
        <is>
          <t>迁移任务管理界面（调度/进度）</t>
        </is>
      </c>
      <c r="G3" s="49" t="n">
        <v>0.4</v>
      </c>
      <c r="H3" s="31" t="inlineStr">
        <is>
          <t>SeaTunnel分片/限速/断点批量导入</t>
        </is>
      </c>
      <c r="I3" s="49" t="n">
        <v>2</v>
      </c>
      <c r="J3" s="31" t="inlineStr">
        <is>
          <t>导入用例+样本表验证</t>
        </is>
      </c>
      <c r="K3" s="49" t="n">
        <v>0.5</v>
      </c>
      <c r="L3" s="31" t="inlineStr">
        <is>
          <t>SLC文档</t>
        </is>
      </c>
      <c r="M3" s="49" t="n">
        <v>0.5</v>
      </c>
      <c r="N3" s="49">
        <f>ROUND(E3+G3+I3+K3+M3,2)</f>
        <v/>
      </c>
      <c r="O3" s="31" t="inlineStr">
        <is>
          <t>4.2.1;4.3.1</t>
        </is>
      </c>
      <c r="P3" s="30" t="inlineStr">
        <is>
          <t>10/22</t>
        </is>
      </c>
    </row>
    <row r="4" ht="34" customHeight="1">
      <c r="A4" s="30" t="inlineStr">
        <is>
          <t>F01-02</t>
        </is>
      </c>
      <c r="B4" s="31" t="inlineStr">
        <is>
          <t>模块1·存量迁移</t>
        </is>
      </c>
      <c r="C4" s="31" t="inlineStr">
        <is>
          <t>非结构化文件及离线包批量导入</t>
        </is>
      </c>
      <c r="D4" s="31" t="inlineStr">
        <is>
          <t>文件来源与离线介质场景澄清</t>
        </is>
      </c>
      <c r="E4" s="49" t="n">
        <v>0.25</v>
      </c>
      <c r="F4" s="31" t="inlineStr">
        <is>
          <t>迁移任务界面（文件批次）</t>
        </is>
      </c>
      <c r="G4" s="49" t="n">
        <v>0.4</v>
      </c>
      <c r="H4" s="31" t="inlineStr">
        <is>
          <t>多源文件/大文件/属性保留/包解析</t>
        </is>
      </c>
      <c r="I4" s="49" t="n">
        <v>1</v>
      </c>
      <c r="J4" s="31" t="inlineStr">
        <is>
          <t>导入与中断恢复用例</t>
        </is>
      </c>
      <c r="K4" s="49" t="n">
        <v>0.5</v>
      </c>
      <c r="L4" s="31" t="inlineStr">
        <is>
          <t>SLC文档</t>
        </is>
      </c>
      <c r="M4" s="49" t="n">
        <v>0.5</v>
      </c>
      <c r="N4" s="49">
        <f>ROUND(E4+G4+I4+K4+M4,2)</f>
        <v/>
      </c>
      <c r="O4" s="31" t="inlineStr">
        <is>
          <t>4.2.2;4.3.1</t>
        </is>
      </c>
      <c r="P4" s="30" t="inlineStr">
        <is>
          <t>10/22</t>
        </is>
      </c>
    </row>
    <row r="5" ht="34" customHeight="1">
      <c r="A5" s="30" t="inlineStr">
        <is>
          <t>F01-03</t>
        </is>
      </c>
      <c r="B5" s="31" t="inlineStr">
        <is>
          <t>模块1·存量迁移</t>
        </is>
      </c>
      <c r="C5" s="31" t="inlineStr">
        <is>
          <t>数据导入规则配置</t>
        </is>
      </c>
      <c r="D5" s="31" t="inlineStr">
        <is>
          <t>源→标准字段映射规则定义</t>
        </is>
      </c>
      <c r="E5" s="49" t="n"/>
      <c r="F5" s="31" t="inlineStr">
        <is>
          <t>规则配置界面</t>
        </is>
      </c>
      <c r="G5" s="49" t="n">
        <v>0.4</v>
      </c>
      <c r="H5" s="31" t="inlineStr">
        <is>
          <t>规则配置服务（映射/转换/校验）</t>
        </is>
      </c>
      <c r="I5" s="49" t="n">
        <v>1</v>
      </c>
      <c r="J5" s="31" t="inlineStr">
        <is>
          <t>规则执行用例</t>
        </is>
      </c>
      <c r="K5" s="49" t="n">
        <v>0.25</v>
      </c>
      <c r="L5" s="31" t="inlineStr">
        <is>
          <t>SLC文档</t>
        </is>
      </c>
      <c r="M5" s="49" t="n">
        <v>0.5</v>
      </c>
      <c r="N5" s="49">
        <f>ROUND(E5+G5+I5+K5+M5,2)</f>
        <v/>
      </c>
      <c r="O5" s="31" t="inlineStr">
        <is>
          <t>4.2.3;4.3.1</t>
        </is>
      </c>
      <c r="P5" s="30" t="inlineStr">
        <is>
          <t>10/22</t>
        </is>
      </c>
    </row>
    <row r="6" ht="34" customHeight="1">
      <c r="A6" s="30" t="inlineStr">
        <is>
          <t>F01-04</t>
        </is>
      </c>
      <c r="B6" s="31" t="inlineStr">
        <is>
          <t>模块1·存量迁移</t>
        </is>
      </c>
      <c r="C6" s="31" t="inlineStr">
        <is>
          <t>迁移前完整性基准记录</t>
        </is>
      </c>
      <c r="D6" s="31" t="inlineStr">
        <is>
          <t>完整性基准口径定义</t>
        </is>
      </c>
      <c r="E6" s="49" t="n"/>
      <c r="F6" s="31" t="inlineStr">
        <is>
          <t>校验结果展示</t>
        </is>
      </c>
      <c r="G6" s="49" t="n">
        <v>0.4</v>
      </c>
      <c r="H6" s="31" t="inlineStr">
        <is>
          <t>迁移前基准记录（行数/校验和）</t>
        </is>
      </c>
      <c r="I6" s="49" t="n">
        <v>1</v>
      </c>
      <c r="J6" s="31" t="inlineStr">
        <is>
          <t>基准记录用例</t>
        </is>
      </c>
      <c r="K6" s="49" t="n"/>
      <c r="L6" s="31" t="inlineStr">
        <is>
          <t>SLC文档</t>
        </is>
      </c>
      <c r="M6" s="49" t="n"/>
      <c r="N6" s="49">
        <f>ROUND(E6+G6+I6+K6+M6,2)</f>
        <v/>
      </c>
      <c r="O6" s="31" t="inlineStr">
        <is>
          <t>4.2.5;4.3.1</t>
        </is>
      </c>
      <c r="P6" s="30" t="inlineStr">
        <is>
          <t>10/22</t>
        </is>
      </c>
    </row>
    <row r="7" ht="34" customHeight="1">
      <c r="A7" s="30" t="inlineStr">
        <is>
          <t>F01-05</t>
        </is>
      </c>
      <c r="B7" s="31" t="inlineStr">
        <is>
          <t>模块1·存量迁移</t>
        </is>
      </c>
      <c r="C7" s="31" t="inlineStr">
        <is>
          <t>迁移后完整性比对</t>
        </is>
      </c>
      <c r="D7" s="31" t="inlineStr">
        <is>
          <t>比对差异处理口径</t>
        </is>
      </c>
      <c r="E7" s="49" t="n"/>
      <c r="F7" s="31" t="inlineStr">
        <is>
          <t>比对结果展示</t>
        </is>
      </c>
      <c r="G7" s="49" t="n">
        <v>0.4</v>
      </c>
      <c r="H7" s="31" t="inlineStr">
        <is>
          <t>迁移后比对（SHA-256/差异报告）</t>
        </is>
      </c>
      <c r="I7" s="49" t="n">
        <v>1</v>
      </c>
      <c r="J7" s="31" t="inlineStr">
        <is>
          <t>比对用例（CC对账预演）</t>
        </is>
      </c>
      <c r="K7" s="49" t="n"/>
      <c r="L7" s="31" t="inlineStr">
        <is>
          <t>SLC文档</t>
        </is>
      </c>
      <c r="M7" s="49" t="n"/>
      <c r="N7" s="49">
        <f>ROUND(E7+G7+I7+K7+M7,2)</f>
        <v/>
      </c>
      <c r="O7" s="31" t="inlineStr">
        <is>
          <t>4.2.5;4.3.1</t>
        </is>
      </c>
      <c r="P7" s="30" t="inlineStr">
        <is>
          <t>10/22</t>
        </is>
      </c>
    </row>
    <row r="8" ht="34" customHeight="1">
      <c r="A8" s="50" t="inlineStr">
        <is>
          <t>F02-01</t>
        </is>
      </c>
      <c r="B8" s="51" t="inlineStr">
        <is>
          <t>模块2·元数据</t>
        </is>
      </c>
      <c r="C8" s="51" t="inlineStr">
        <is>
          <t>统一元数据模型</t>
        </is>
      </c>
      <c r="D8" s="51" t="inlineStr">
        <is>
          <t>元数据字段体系与必填规则</t>
        </is>
      </c>
      <c r="E8" s="52" t="n">
        <v>0.25</v>
      </c>
      <c r="F8" s="51" t="inlineStr">
        <is>
          <t>—</t>
        </is>
      </c>
      <c r="G8" s="52" t="n"/>
      <c r="H8" s="51" t="inlineStr">
        <is>
          <t>统一元数据模型API</t>
        </is>
      </c>
      <c r="I8" s="52" t="n">
        <v>1.5</v>
      </c>
      <c r="J8" s="51" t="inlineStr">
        <is>
          <t>模块2走查</t>
        </is>
      </c>
      <c r="K8" s="52" t="n">
        <v>0.5</v>
      </c>
      <c r="L8" s="51" t="inlineStr">
        <is>
          <t>SLC文档</t>
        </is>
      </c>
      <c r="M8" s="52" t="n">
        <v>0.25</v>
      </c>
      <c r="N8" s="52">
        <f>ROUND(E8+G8+I8+K8+M8,2)</f>
        <v/>
      </c>
      <c r="O8" s="51" t="inlineStr">
        <is>
          <t>4.2.6;5.2.1</t>
        </is>
      </c>
      <c r="P8" s="50" t="inlineStr">
        <is>
          <t>10/28</t>
        </is>
      </c>
    </row>
    <row r="9" ht="34" customHeight="1">
      <c r="A9" s="50" t="inlineStr">
        <is>
          <t>F02-02</t>
        </is>
      </c>
      <c r="B9" s="51" t="inlineStr">
        <is>
          <t>模块2·元数据</t>
        </is>
      </c>
      <c r="C9" s="51" t="inlineStr">
        <is>
          <t>来源系统信息绑定</t>
        </is>
      </c>
      <c r="D9" s="51" t="inlineStr">
        <is>
          <t>来源系统编码与绑定规则</t>
        </is>
      </c>
      <c r="E9" s="52" t="n"/>
      <c r="F9" s="51" t="inlineStr">
        <is>
          <t>元数据管理界面（协作）</t>
        </is>
      </c>
      <c r="G9" s="52" t="n"/>
      <c r="H9" s="51" t="inlineStr">
        <is>
          <t>来源系统信息绑定API</t>
        </is>
      </c>
      <c r="I9" s="52" t="n">
        <v>1.5</v>
      </c>
      <c r="J9" s="51" t="inlineStr">
        <is>
          <t>模块2走查</t>
        </is>
      </c>
      <c r="K9" s="52" t="n">
        <v>0.75</v>
      </c>
      <c r="L9" s="51" t="inlineStr">
        <is>
          <t>SLC文档</t>
        </is>
      </c>
      <c r="M9" s="52" t="n"/>
      <c r="N9" s="52">
        <f>ROUND(E9+G9+I9+K9+M9,2)</f>
        <v/>
      </c>
      <c r="O9" s="51" t="inlineStr">
        <is>
          <t>4.2.6;5.2.1</t>
        </is>
      </c>
      <c r="P9" s="50" t="inlineStr">
        <is>
          <t>10/28</t>
        </is>
      </c>
    </row>
    <row r="10" ht="34" customHeight="1">
      <c r="A10" s="23" t="inlineStr">
        <is>
          <t>F03-01</t>
        </is>
      </c>
      <c r="B10" s="33" t="inlineStr">
        <is>
          <t>模块3·生命周期处置</t>
        </is>
      </c>
      <c r="C10" s="33" t="inlineStr">
        <is>
          <t>保留期限到期自动删除</t>
        </is>
      </c>
      <c r="D10" s="33" t="inlineStr">
        <is>
          <t>保留期矩阵与到期处置策略</t>
        </is>
      </c>
      <c r="E10" s="48" t="n">
        <v>0.25</v>
      </c>
      <c r="F10" s="33" t="inlineStr">
        <is>
          <t>保留策略配置界面</t>
        </is>
      </c>
      <c r="G10" s="48" t="n">
        <v>1</v>
      </c>
      <c r="H10" s="33" t="inlineStr">
        <is>
          <t>处置引擎（扫描→DROP PARTITION→VACUUM）</t>
        </is>
      </c>
      <c r="I10" s="48" t="n">
        <v>2</v>
      </c>
      <c r="J10" s="33" t="inlineStr">
        <is>
          <t>到期删除走查</t>
        </is>
      </c>
      <c r="K10" s="48" t="n">
        <v>0.5</v>
      </c>
      <c r="L10" s="33" t="inlineStr">
        <is>
          <t>SLC文档</t>
        </is>
      </c>
      <c r="M10" s="48" t="n">
        <v>0.25</v>
      </c>
      <c r="N10" s="48">
        <f>ROUND(E10+G10+I10+K10+M10,2)</f>
        <v/>
      </c>
      <c r="O10" s="33" t="inlineStr">
        <is>
          <t>5.2.5;5.1.5</t>
        </is>
      </c>
      <c r="P10" s="23" t="inlineStr">
        <is>
          <t>11/06</t>
        </is>
      </c>
    </row>
    <row r="11" ht="34" customHeight="1">
      <c r="A11" s="23" t="inlineStr">
        <is>
          <t>F03-02</t>
        </is>
      </c>
      <c r="B11" s="33" t="inlineStr">
        <is>
          <t>模块3·生命周期处置</t>
        </is>
      </c>
      <c r="C11" s="33" t="inlineStr">
        <is>
          <t>Legal Hold 冻结</t>
        </is>
      </c>
      <c r="D11" s="33" t="inlineStr">
        <is>
          <t>Legal Hold审批流程定义</t>
        </is>
      </c>
      <c r="E11" s="48" t="n"/>
      <c r="F11" s="33" t="inlineStr">
        <is>
          <t>Legal Hold冻结/解除界面</t>
        </is>
      </c>
      <c r="G11" s="48" t="n">
        <v>1</v>
      </c>
      <c r="H11" s="33" t="inlineStr">
        <is>
          <t>Hold/Release+豁免+留痕</t>
        </is>
      </c>
      <c r="I11" s="48" t="n">
        <v>1</v>
      </c>
      <c r="J11" s="33" t="inlineStr">
        <is>
          <t>冻结/解除走查</t>
        </is>
      </c>
      <c r="K11" s="48" t="n">
        <v>0.25</v>
      </c>
      <c r="L11" s="33" t="inlineStr">
        <is>
          <t>SLC文档</t>
        </is>
      </c>
      <c r="M11" s="48" t="n"/>
      <c r="N11" s="48">
        <f>ROUND(E11+G11+I11+K11+M11,2)</f>
        <v/>
      </c>
      <c r="O11" s="33" t="inlineStr">
        <is>
          <t>5.2.6;5.1.5</t>
        </is>
      </c>
      <c r="P11" s="23" t="inlineStr">
        <is>
          <t>11/06</t>
        </is>
      </c>
    </row>
    <row r="12" ht="34" customHeight="1">
      <c r="A12" s="53" t="inlineStr">
        <is>
          <t>F04-01</t>
        </is>
      </c>
      <c r="B12" s="54" t="inlineStr">
        <is>
          <t>模块4·存储安全</t>
        </is>
      </c>
      <c r="C12" s="54" t="inlineStr">
        <is>
          <t>数据加密存储</t>
        </is>
      </c>
      <c r="D12" s="54" t="inlineStr">
        <is>
          <t>密级与加密合规要求</t>
        </is>
      </c>
      <c r="E12" s="55" t="n">
        <v>0.25</v>
      </c>
      <c r="F12" s="54" t="inlineStr">
        <is>
          <t>—</t>
        </is>
      </c>
      <c r="G12" s="55" t="n"/>
      <c r="H12" s="54" t="inlineStr">
        <is>
          <t>ADLS原生SSE/CMK配置+PII字段级加密</t>
        </is>
      </c>
      <c r="I12" s="55" t="n">
        <v>2</v>
      </c>
      <c r="J12" s="54" t="inlineStr">
        <is>
          <t>加密落盘验证</t>
        </is>
      </c>
      <c r="K12" s="55" t="n">
        <v>0.5</v>
      </c>
      <c r="L12" s="54" t="inlineStr">
        <is>
          <t>SLC文档</t>
        </is>
      </c>
      <c r="M12" s="55" t="n"/>
      <c r="N12" s="55">
        <f>ROUND(E12+G12+I12+K12+M12,2)</f>
        <v/>
      </c>
      <c r="O12" s="54" t="inlineStr">
        <is>
          <t>5.2.2</t>
        </is>
      </c>
      <c r="P12" s="53" t="inlineStr">
        <is>
          <t>11/06</t>
        </is>
      </c>
    </row>
    <row r="13" ht="34" customHeight="1">
      <c r="A13" s="53" t="inlineStr">
        <is>
          <t>F04-02</t>
        </is>
      </c>
      <c r="B13" s="54" t="inlineStr">
        <is>
          <t>模块4·存储安全</t>
        </is>
      </c>
      <c r="C13" s="54" t="inlineStr">
        <is>
          <t>密钥管理</t>
        </is>
      </c>
      <c r="D13" s="54" t="inlineStr">
        <is>
          <t>密钥保管与审计要求</t>
        </is>
      </c>
      <c r="E13" s="55" t="n"/>
      <c r="F13" s="54" t="inlineStr">
        <is>
          <t>—</t>
        </is>
      </c>
      <c r="G13" s="55" t="n"/>
      <c r="H13" s="54" t="inlineStr">
        <is>
          <t>Key Vault原生(RBAC)+应用Managed Identity集成</t>
        </is>
      </c>
      <c r="I13" s="55" t="n">
        <v>2</v>
      </c>
      <c r="J13" s="54" t="inlineStr">
        <is>
          <t>密钥轮换用例</t>
        </is>
      </c>
      <c r="K13" s="55" t="n">
        <v>0.25</v>
      </c>
      <c r="L13" s="54" t="inlineStr">
        <is>
          <t>SLC文档</t>
        </is>
      </c>
      <c r="M13" s="55" t="n"/>
      <c r="N13" s="55">
        <f>ROUND(E13+G13+I13+K13+M13,2)</f>
        <v/>
      </c>
      <c r="O13" s="54" t="inlineStr">
        <is>
          <t>5.2.3</t>
        </is>
      </c>
      <c r="P13" s="53" t="inlineStr">
        <is>
          <t>11/06</t>
        </is>
      </c>
    </row>
    <row r="14" ht="34" customHeight="1">
      <c r="A14" s="53" t="inlineStr">
        <is>
          <t>F04-03</t>
        </is>
      </c>
      <c r="B14" s="54" t="inlineStr">
        <is>
          <t>模块4·存储安全</t>
        </is>
      </c>
      <c r="C14" s="54" t="inlineStr">
        <is>
          <t>数据备份管理</t>
        </is>
      </c>
      <c r="D14" s="54" t="inlineStr">
        <is>
          <t>备份策略要求（RPO）</t>
        </is>
      </c>
      <c r="E14" s="55" t="n"/>
      <c r="F14" s="54" t="inlineStr">
        <is>
          <t>—</t>
        </is>
      </c>
      <c r="G14" s="55" t="n"/>
      <c r="H14" s="54" t="inlineStr">
        <is>
          <t>SQL PITR/ADLS原生备份策略配置</t>
        </is>
      </c>
      <c r="I14" s="55" t="n">
        <v>1</v>
      </c>
      <c r="J14" s="54" t="inlineStr">
        <is>
          <t>备份恢复用例</t>
        </is>
      </c>
      <c r="K14" s="55" t="n"/>
      <c r="L14" s="54" t="inlineStr">
        <is>
          <t>SLC文档</t>
        </is>
      </c>
      <c r="M14" s="55" t="n"/>
      <c r="N14" s="55">
        <f>ROUND(E14+G14+I14+K14+M14,2)</f>
        <v/>
      </c>
      <c r="O14" s="54" t="inlineStr">
        <is>
          <t>5.2.7</t>
        </is>
      </c>
      <c r="P14" s="53" t="inlineStr">
        <is>
          <t>11/06</t>
        </is>
      </c>
    </row>
    <row r="15" ht="34" customHeight="1">
      <c r="A15" s="53" t="inlineStr">
        <is>
          <t>F04-04</t>
        </is>
      </c>
      <c r="B15" s="54" t="inlineStr">
        <is>
          <t>模块4·存储安全</t>
        </is>
      </c>
      <c r="C15" s="54" t="inlineStr">
        <is>
          <t>异地灾备</t>
        </is>
      </c>
      <c r="D15" s="54" t="inlineStr">
        <is>
          <t>灾备要求（RTO）</t>
        </is>
      </c>
      <c r="E15" s="55" t="n"/>
      <c r="F15" s="54" t="inlineStr">
        <is>
          <t>—</t>
        </is>
      </c>
      <c r="G15" s="55" t="n"/>
      <c r="H15" s="54" t="inlineStr">
        <is>
          <t>Azure Blob原生冗余(GRS)配置+恢复演练</t>
        </is>
      </c>
      <c r="I15" s="55" t="n">
        <v>1</v>
      </c>
      <c r="J15" s="54" t="inlineStr">
        <is>
          <t>灾备切换用例</t>
        </is>
      </c>
      <c r="K15" s="55" t="n"/>
      <c r="L15" s="54" t="inlineStr">
        <is>
          <t>SLC文档</t>
        </is>
      </c>
      <c r="M15" s="55" t="n"/>
      <c r="N15" s="55">
        <f>ROUND(E15+G15+I15+K15+M15,2)</f>
        <v/>
      </c>
      <c r="O15" s="54" t="inlineStr">
        <is>
          <t>5.2.8</t>
        </is>
      </c>
      <c r="P15" s="53" t="inlineStr">
        <is>
          <t>11/09</t>
        </is>
      </c>
    </row>
    <row r="16" ht="34" customHeight="1">
      <c r="A16" s="56" t="inlineStr">
        <is>
          <t>F05-01</t>
        </is>
      </c>
      <c r="B16" s="57" t="inlineStr">
        <is>
          <t>模块5·检索利用</t>
        </is>
      </c>
      <c r="C16" s="57" t="inlineStr">
        <is>
          <t>关键词检索</t>
        </is>
      </c>
      <c r="D16" s="57" t="inlineStr">
        <is>
          <t>检索需求与查询配置模型</t>
        </is>
      </c>
      <c r="E16" s="58" t="n">
        <v>0.25</v>
      </c>
      <c r="F16" s="57" t="inlineStr">
        <is>
          <t>检索页动态表单+关键词检索</t>
        </is>
      </c>
      <c r="G16" s="58" t="n">
        <v>0.33</v>
      </c>
      <c r="H16" s="57" t="inlineStr">
        <is>
          <t>—</t>
        </is>
      </c>
      <c r="I16" s="58" t="n"/>
      <c r="J16" s="57" t="inlineStr">
        <is>
          <t>检索用例</t>
        </is>
      </c>
      <c r="K16" s="58" t="n">
        <v>1</v>
      </c>
      <c r="L16" s="57" t="inlineStr">
        <is>
          <t>SLC文档</t>
        </is>
      </c>
      <c r="M16" s="58" t="n"/>
      <c r="N16" s="58">
        <f>ROUND(E16+G16+I16+K16+M16,2)</f>
        <v/>
      </c>
      <c r="O16" s="57" t="inlineStr">
        <is>
          <t>4.3.2</t>
        </is>
      </c>
      <c r="P16" s="56" t="inlineStr">
        <is>
          <t>10/30</t>
        </is>
      </c>
    </row>
    <row r="17" ht="34" customHeight="1">
      <c r="A17" s="56" t="inlineStr">
        <is>
          <t>F05-02</t>
        </is>
      </c>
      <c r="B17" s="57" t="inlineStr">
        <is>
          <t>模块5·检索利用</t>
        </is>
      </c>
      <c r="C17" s="57" t="inlineStr">
        <is>
          <t>按系统名称检索</t>
        </is>
      </c>
      <c r="D17" s="57" t="inlineStr">
        <is>
          <t>来源系统筛选需求</t>
        </is>
      </c>
      <c r="E17" s="58" t="n"/>
      <c r="F17" s="57" t="inlineStr">
        <is>
          <t>按系统名称检索</t>
        </is>
      </c>
      <c r="G17" s="58" t="n">
        <v>0.33</v>
      </c>
      <c r="H17" s="57" t="inlineStr">
        <is>
          <t>—</t>
        </is>
      </c>
      <c r="I17" s="58" t="n"/>
      <c r="J17" s="57" t="inlineStr">
        <is>
          <t>筛选用例</t>
        </is>
      </c>
      <c r="K17" s="58" t="n">
        <v>0.75</v>
      </c>
      <c r="L17" s="57" t="inlineStr">
        <is>
          <t>SLC文档</t>
        </is>
      </c>
      <c r="M17" s="58" t="n"/>
      <c r="N17" s="58">
        <f>ROUND(E17+G17+I17+K17+M17,2)</f>
        <v/>
      </c>
      <c r="O17" s="57" t="inlineStr">
        <is>
          <t>4.3.2</t>
        </is>
      </c>
      <c r="P17" s="56" t="inlineStr">
        <is>
          <t>10/30</t>
        </is>
      </c>
    </row>
    <row r="18" ht="34" customHeight="1">
      <c r="A18" s="56" t="inlineStr">
        <is>
          <t>F05-03</t>
        </is>
      </c>
      <c r="B18" s="57" t="inlineStr">
        <is>
          <t>模块5·检索利用</t>
        </is>
      </c>
      <c r="C18" s="57" t="inlineStr">
        <is>
          <t>按业务时间检索</t>
        </is>
      </c>
      <c r="D18" s="57" t="inlineStr">
        <is>
          <t>时间维度检索需求</t>
        </is>
      </c>
      <c r="E18" s="58" t="n"/>
      <c r="F18" s="57" t="inlineStr">
        <is>
          <t>按业务时间检索</t>
        </is>
      </c>
      <c r="G18" s="58" t="n">
        <v>0.33</v>
      </c>
      <c r="H18" s="57" t="inlineStr">
        <is>
          <t>—</t>
        </is>
      </c>
      <c r="I18" s="58" t="n"/>
      <c r="J18" s="57" t="inlineStr">
        <is>
          <t>时间范围用例</t>
        </is>
      </c>
      <c r="K18" s="58" t="n">
        <v>0.5</v>
      </c>
      <c r="L18" s="57" t="inlineStr">
        <is>
          <t>SLC文档</t>
        </is>
      </c>
      <c r="M18" s="58" t="n"/>
      <c r="N18" s="58">
        <f>ROUND(E18+G18+I18+K18+M18,2)</f>
        <v/>
      </c>
      <c r="O18" s="57" t="inlineStr">
        <is>
          <t>4.3.2</t>
        </is>
      </c>
      <c r="P18" s="56" t="inlineStr">
        <is>
          <t>10/30</t>
        </is>
      </c>
    </row>
    <row r="19" ht="34" customHeight="1">
      <c r="A19" s="56" t="inlineStr">
        <is>
          <t>F05-04</t>
        </is>
      </c>
      <c r="B19" s="57" t="inlineStr">
        <is>
          <t>模块5·检索利用</t>
        </is>
      </c>
      <c r="C19" s="57" t="inlineStr">
        <is>
          <t>检索结果列表展示</t>
        </is>
      </c>
      <c r="D19" s="57" t="inlineStr">
        <is>
          <t>列表字段/排序/导出需求</t>
        </is>
      </c>
      <c r="E19" s="58" t="n"/>
      <c r="F19" s="57" t="inlineStr">
        <is>
          <t>结果列表（分页/排序）+流式导出</t>
        </is>
      </c>
      <c r="G19" s="58" t="n">
        <v>3</v>
      </c>
      <c r="H19" s="57" t="inlineStr">
        <is>
          <t>—</t>
        </is>
      </c>
      <c r="I19" s="58" t="n"/>
      <c r="J19" s="57" t="inlineStr">
        <is>
          <t>大批量用例</t>
        </is>
      </c>
      <c r="K19" s="58" t="n">
        <v>0.25</v>
      </c>
      <c r="L19" s="57" t="inlineStr">
        <is>
          <t>SLC文档</t>
        </is>
      </c>
      <c r="M19" s="58" t="n"/>
      <c r="N19" s="58">
        <f>ROUND(E19+G19+I19+K19+M19,2)</f>
        <v/>
      </c>
      <c r="O19" s="57" t="inlineStr">
        <is>
          <t>5.1.1;5.1.7</t>
        </is>
      </c>
      <c r="P19" s="56" t="inlineStr">
        <is>
          <t>11/10</t>
        </is>
      </c>
    </row>
    <row r="20" ht="34" customHeight="1">
      <c r="A20" s="56" t="inlineStr">
        <is>
          <t>F05-05</t>
        </is>
      </c>
      <c r="B20" s="57" t="inlineStr">
        <is>
          <t>模块5·检索利用</t>
        </is>
      </c>
      <c r="C20" s="57" t="inlineStr">
        <is>
          <t>原始文件在线预览</t>
        </is>
      </c>
      <c r="D20" s="57" t="inlineStr">
        <is>
          <t>预览格式与权限要求</t>
        </is>
      </c>
      <c r="E20" s="58" t="n"/>
      <c r="F20" s="57" t="inlineStr">
        <is>
          <t>在线预览（SAS直连）+大文件优化</t>
        </is>
      </c>
      <c r="G20" s="58" t="n">
        <v>3</v>
      </c>
      <c r="H20" s="57" t="inlineStr">
        <is>
          <t>—</t>
        </is>
      </c>
      <c r="I20" s="58" t="n"/>
      <c r="J20" s="57" t="inlineStr">
        <is>
          <t>预览用例</t>
        </is>
      </c>
      <c r="K20" s="58" t="n"/>
      <c r="L20" s="57" t="inlineStr">
        <is>
          <t>SLC文档</t>
        </is>
      </c>
      <c r="M20" s="58" t="n"/>
      <c r="N20" s="58">
        <f>ROUND(E20+G20+I20+K20+M20,2)</f>
        <v/>
      </c>
      <c r="O20" s="57" t="inlineStr">
        <is>
          <t>5.1.2;5.1.7</t>
        </is>
      </c>
      <c r="P20" s="56" t="inlineStr">
        <is>
          <t>11/10</t>
        </is>
      </c>
    </row>
    <row r="21" ht="34" customHeight="1">
      <c r="A21" s="59" t="inlineStr">
        <is>
          <t>F06-01</t>
        </is>
      </c>
      <c r="B21" s="60" t="inlineStr">
        <is>
          <t>模块6·审计合规</t>
        </is>
      </c>
      <c r="C21" s="60" t="inlineStr">
        <is>
          <t>归档操作日志记录</t>
        </is>
      </c>
      <c r="D21" s="60" t="inlineStr">
        <is>
          <t>审计合规要求（归档日志）</t>
        </is>
      </c>
      <c r="E21" s="61" t="n">
        <v>0.25</v>
      </c>
      <c r="F21" s="60" t="inlineStr">
        <is>
          <t>归档操作日志+审计查询界面</t>
        </is>
      </c>
      <c r="G21" s="61" t="n">
        <v>0.67</v>
      </c>
      <c r="H21" s="60" t="inlineStr">
        <is>
          <t>—</t>
        </is>
      </c>
      <c r="I21" s="61" t="n"/>
      <c r="J21" s="60" t="inlineStr">
        <is>
          <t>审计走查</t>
        </is>
      </c>
      <c r="K21" s="61" t="n">
        <v>0.75</v>
      </c>
      <c r="L21" s="60" t="inlineStr">
        <is>
          <t>SLC文档</t>
        </is>
      </c>
      <c r="M21" s="61" t="n"/>
      <c r="N21" s="61">
        <f>ROUND(E21+G21+I21+K21+M21,2)</f>
        <v/>
      </c>
      <c r="O21" s="60" t="inlineStr">
        <is>
          <t>5.1.3</t>
        </is>
      </c>
      <c r="P21" s="59" t="inlineStr">
        <is>
          <t>11/03</t>
        </is>
      </c>
    </row>
    <row r="22" ht="34" customHeight="1">
      <c r="A22" s="59" t="inlineStr">
        <is>
          <t>F06-02</t>
        </is>
      </c>
      <c r="B22" s="60" t="inlineStr">
        <is>
          <t>模块6·审计合规</t>
        </is>
      </c>
      <c r="C22" s="60" t="inlineStr">
        <is>
          <t>查询操作日志记录</t>
        </is>
      </c>
      <c r="D22" s="60" t="inlineStr">
        <is>
          <t>查询行为审计要求</t>
        </is>
      </c>
      <c r="E22" s="61" t="n"/>
      <c r="F22" s="60" t="inlineStr">
        <is>
          <t>查询操作日志记录</t>
        </is>
      </c>
      <c r="G22" s="61" t="n">
        <v>0.67</v>
      </c>
      <c r="H22" s="60" t="inlineStr">
        <is>
          <t>—</t>
        </is>
      </c>
      <c r="I22" s="61" t="n"/>
      <c r="J22" s="60" t="inlineStr">
        <is>
          <t>审计走查</t>
        </is>
      </c>
      <c r="K22" s="61" t="n">
        <v>0.75</v>
      </c>
      <c r="L22" s="60" t="inlineStr">
        <is>
          <t>SLC文档</t>
        </is>
      </c>
      <c r="M22" s="61" t="n"/>
      <c r="N22" s="61">
        <f>ROUND(E22+G22+I22+K22+M22,2)</f>
        <v/>
      </c>
      <c r="O22" s="60" t="inlineStr">
        <is>
          <t>5.1.3</t>
        </is>
      </c>
      <c r="P22" s="59" t="inlineStr">
        <is>
          <t>11/03</t>
        </is>
      </c>
    </row>
    <row r="23" ht="34" customHeight="1">
      <c r="A23" s="59" t="inlineStr">
        <is>
          <t>F06-03</t>
        </is>
      </c>
      <c r="B23" s="60" t="inlineStr">
        <is>
          <t>模块6·审计合规</t>
        </is>
      </c>
      <c r="C23" s="60" t="inlineStr">
        <is>
          <t>导出操作日志记录</t>
        </is>
      </c>
      <c r="D23" s="60" t="inlineStr">
        <is>
          <t>导出审计要求（范围/IP）</t>
        </is>
      </c>
      <c r="E23" s="61" t="n"/>
      <c r="F23" s="60" t="inlineStr">
        <is>
          <t>导出操作日志记录</t>
        </is>
      </c>
      <c r="G23" s="61" t="n">
        <v>0.67</v>
      </c>
      <c r="H23" s="60" t="inlineStr">
        <is>
          <t>—</t>
        </is>
      </c>
      <c r="I23" s="61" t="n"/>
      <c r="J23" s="60" t="inlineStr">
        <is>
          <t>审计走查</t>
        </is>
      </c>
      <c r="K23" s="61" t="n">
        <v>0.75</v>
      </c>
      <c r="L23" s="60" t="inlineStr">
        <is>
          <t>SLC文档</t>
        </is>
      </c>
      <c r="M23" s="61" t="n"/>
      <c r="N23" s="61">
        <f>ROUND(E23+G23+I23+K23+M23,2)</f>
        <v/>
      </c>
      <c r="O23" s="60" t="inlineStr">
        <is>
          <t>5.1.3</t>
        </is>
      </c>
      <c r="P23" s="59" t="inlineStr">
        <is>
          <t>11/03</t>
        </is>
      </c>
    </row>
    <row r="24" ht="34" customHeight="1">
      <c r="A24" s="62" t="inlineStr">
        <is>
          <t>F08-01</t>
        </is>
      </c>
      <c r="B24" s="63" t="inlineStr">
        <is>
          <t>模块8·全局治理</t>
        </is>
      </c>
      <c r="C24" s="63" t="inlineStr">
        <is>
          <t>基础角色权限配置</t>
        </is>
      </c>
      <c r="D24" s="63" t="inlineStr">
        <is>
          <t>角色权限矩阵（RBAC）定义</t>
        </is>
      </c>
      <c r="E24" s="64" t="n">
        <v>0.25</v>
      </c>
      <c r="F24" s="63" t="inlineStr">
        <is>
          <t>角色权限配置（界面+API）</t>
        </is>
      </c>
      <c r="G24" s="64" t="n">
        <v>1.5</v>
      </c>
      <c r="H24" s="63" t="inlineStr">
        <is>
          <t>—</t>
        </is>
      </c>
      <c r="I24" s="64" t="n"/>
      <c r="J24" s="63" t="inlineStr">
        <is>
          <t>越权用例</t>
        </is>
      </c>
      <c r="K24" s="64" t="n">
        <v>0.5</v>
      </c>
      <c r="L24" s="63" t="inlineStr">
        <is>
          <t>SLC文档</t>
        </is>
      </c>
      <c r="M24" s="64" t="n">
        <v>0.5</v>
      </c>
      <c r="N24" s="64">
        <f>ROUND(E24+G24+I24+K24+M24,2)</f>
        <v/>
      </c>
      <c r="O24" s="63" t="inlineStr">
        <is>
          <t>4.1.1</t>
        </is>
      </c>
      <c r="P24" s="62" t="inlineStr">
        <is>
          <t>10/22</t>
        </is>
      </c>
    </row>
    <row r="25" ht="34" customHeight="1">
      <c r="A25" s="62" t="inlineStr">
        <is>
          <t>F08-02</t>
        </is>
      </c>
      <c r="B25" s="63" t="inlineStr">
        <is>
          <t>模块8·全局治理</t>
        </is>
      </c>
      <c r="C25" s="63" t="inlineStr">
        <is>
          <t>用户账号管理</t>
        </is>
      </c>
      <c r="D25" s="63" t="inlineStr">
        <is>
          <t>账号生命周期策略</t>
        </is>
      </c>
      <c r="E25" s="64" t="n"/>
      <c r="F25" s="63" t="inlineStr">
        <is>
          <t>用户账号管理（界面+API）</t>
        </is>
      </c>
      <c r="G25" s="64" t="n">
        <v>1.5</v>
      </c>
      <c r="H25" s="63" t="inlineStr">
        <is>
          <t>—</t>
        </is>
      </c>
      <c r="I25" s="64" t="n"/>
      <c r="J25" s="63" t="inlineStr">
        <is>
          <t>账号用例</t>
        </is>
      </c>
      <c r="K25" s="64" t="n">
        <v>0.5</v>
      </c>
      <c r="L25" s="63" t="inlineStr">
        <is>
          <t>SLC文档</t>
        </is>
      </c>
      <c r="M25" s="64" t="n">
        <v>0.5</v>
      </c>
      <c r="N25" s="64">
        <f>ROUND(E25+G25+I25+K25+M25,2)</f>
        <v/>
      </c>
      <c r="O25" s="63" t="inlineStr">
        <is>
          <t>4.1.1</t>
        </is>
      </c>
      <c r="P25" s="62" t="inlineStr">
        <is>
          <t>10/22</t>
        </is>
      </c>
    </row>
    <row r="26" ht="34" customHeight="1">
      <c r="A26" s="62" t="inlineStr">
        <is>
          <t>F08-03</t>
        </is>
      </c>
      <c r="B26" s="63" t="inlineStr">
        <is>
          <t>模块8·全局治理</t>
        </is>
      </c>
      <c r="C26" s="63" t="inlineStr">
        <is>
          <t>企业SSO集成</t>
        </is>
      </c>
      <c r="D26" s="63" t="inlineStr">
        <is>
          <t>SSO对接需求（Entra ID）</t>
        </is>
      </c>
      <c r="E26" s="64" t="n"/>
      <c r="F26" s="63" t="inlineStr">
        <is>
          <t>SSO集成（Entra ID+MSAL中间件）</t>
        </is>
      </c>
      <c r="G26" s="64" t="n">
        <v>3</v>
      </c>
      <c r="H26" s="63" t="inlineStr">
        <is>
          <t>—</t>
        </is>
      </c>
      <c r="I26" s="64" t="n"/>
      <c r="J26" s="63" t="inlineStr">
        <is>
          <t>SSO登录用例</t>
        </is>
      </c>
      <c r="K26" s="64" t="n">
        <v>0.25</v>
      </c>
      <c r="L26" s="63" t="inlineStr">
        <is>
          <t>SLC文档</t>
        </is>
      </c>
      <c r="M26" s="64" t="n">
        <v>0.5</v>
      </c>
      <c r="N26" s="64">
        <f>ROUND(E26+G26+I26+K26+M26,2)</f>
        <v/>
      </c>
      <c r="O26" s="63" t="inlineStr">
        <is>
          <t>4.1.2;3.3.1</t>
        </is>
      </c>
      <c r="P26" s="62" t="inlineStr">
        <is>
          <t>10/22</t>
        </is>
      </c>
    </row>
    <row r="27" ht="34" customHeight="1">
      <c r="A27" s="62" t="inlineStr">
        <is>
          <t>F08-04</t>
        </is>
      </c>
      <c r="B27" s="63" t="inlineStr">
        <is>
          <t>模块8·全局治理</t>
        </is>
      </c>
      <c r="C27" s="63" t="inlineStr">
        <is>
          <t>用户身份自动识别与关联</t>
        </is>
      </c>
      <c r="D27" s="63" t="inlineStr">
        <is>
          <t>身份映射规则</t>
        </is>
      </c>
      <c r="E27" s="64" t="n"/>
      <c r="F27" s="63" t="inlineStr">
        <is>
          <t>身份自动识别与关联</t>
        </is>
      </c>
      <c r="G27" s="64" t="n">
        <v>1</v>
      </c>
      <c r="H27" s="63" t="inlineStr">
        <is>
          <t>—</t>
        </is>
      </c>
      <c r="I27" s="64" t="n"/>
      <c r="J27" s="63" t="inlineStr">
        <is>
          <t>身份关联用例</t>
        </is>
      </c>
      <c r="K27" s="64" t="n"/>
      <c r="L27" s="63" t="inlineStr">
        <is>
          <t>SLC文档</t>
        </is>
      </c>
      <c r="M27" s="64" t="n"/>
      <c r="N27" s="64">
        <f>ROUND(E27+G27+I27+K27+M27,2)</f>
        <v/>
      </c>
      <c r="O27" s="63" t="inlineStr">
        <is>
          <t>4.1.2</t>
        </is>
      </c>
      <c r="P27" s="62" t="inlineStr">
        <is>
          <t>10/22</t>
        </is>
      </c>
    </row>
    <row r="28" ht="34" customHeight="1">
      <c r="A28" s="62" t="inlineStr">
        <is>
          <t>F08-05</t>
        </is>
      </c>
      <c r="B28" s="63" t="inlineStr">
        <is>
          <t>模块8·全局治理</t>
        </is>
      </c>
      <c r="C28" s="63" t="inlineStr">
        <is>
          <t>登录状态与异常访问控制</t>
        </is>
      </c>
      <c r="D28" s="63" t="inlineStr">
        <is>
          <t>异常访问控制策略</t>
        </is>
      </c>
      <c r="E28" s="64" t="n"/>
      <c r="F28" s="63" t="inlineStr">
        <is>
          <t>超时/锁定/失效控制</t>
        </is>
      </c>
      <c r="G28" s="64" t="n">
        <v>1</v>
      </c>
      <c r="H28" s="63" t="inlineStr">
        <is>
          <t>—</t>
        </is>
      </c>
      <c r="I28" s="64" t="n"/>
      <c r="J28" s="63" t="inlineStr">
        <is>
          <t>异常登录用例</t>
        </is>
      </c>
      <c r="K28" s="64" t="n"/>
      <c r="L28" s="63" t="inlineStr">
        <is>
          <t>SLC文档</t>
        </is>
      </c>
      <c r="M28" s="64" t="n"/>
      <c r="N28" s="64">
        <f>ROUND(E28+G28+I28+K28+M28,2)</f>
        <v/>
      </c>
      <c r="O28" s="63" t="inlineStr">
        <is>
          <t>4.1.3</t>
        </is>
      </c>
      <c r="P28" s="62" t="inlineStr">
        <is>
          <t>10/22</t>
        </is>
      </c>
    </row>
    <row r="29" ht="34" customHeight="1">
      <c r="A29" s="65" t="inlineStr">
        <is>
          <t>G1</t>
        </is>
      </c>
      <c r="B29" s="66" t="inlineStr">
        <is>
          <t>公共支撑</t>
        </is>
      </c>
      <c r="C29" s="66" t="inlineStr">
        <is>
          <t>需求与SRS（跨功能）</t>
        </is>
      </c>
      <c r="D29" s="66" t="inlineStr">
        <is>
          <t>业务访谈3场/原型草图/SRS生成与评审/NFR基线/需求贯穿</t>
        </is>
      </c>
      <c r="E29" s="67" t="n">
        <v>8.5</v>
      </c>
      <c r="F29" s="66" t="inlineStr">
        <is>
          <t>—</t>
        </is>
      </c>
      <c r="G29" s="67" t="n"/>
      <c r="H29" s="66" t="inlineStr">
        <is>
          <t>—</t>
        </is>
      </c>
      <c r="I29" s="67" t="n"/>
      <c r="J29" s="66" t="inlineStr">
        <is>
          <t>—</t>
        </is>
      </c>
      <c r="K29" s="67" t="n"/>
      <c r="L29" s="66" t="inlineStr">
        <is>
          <t>—</t>
        </is>
      </c>
      <c r="M29" s="67" t="n"/>
      <c r="N29" s="67">
        <f>ROUND(E29+G29+I29+K29+M29,2)</f>
        <v/>
      </c>
      <c r="O29" s="66" t="inlineStr">
        <is>
          <t>2.1.1,2.1.3,2.2.1,2.2.2…</t>
        </is>
      </c>
      <c r="P29" s="65" t="inlineStr">
        <is>
          <t>12/04</t>
        </is>
      </c>
    </row>
    <row r="30" ht="34" customHeight="1">
      <c r="A30" s="65" t="inlineStr">
        <is>
          <t>G2</t>
        </is>
      </c>
      <c r="B30" s="66" t="inlineStr">
        <is>
          <t>公共支撑</t>
        </is>
      </c>
      <c r="C30" s="66" t="inlineStr">
        <is>
          <t>项目初始化与工程基座</t>
        </is>
      </c>
      <c r="D30" s="66" t="inlineStr">
        <is>
          <t>—</t>
        </is>
      </c>
      <c r="E30" s="67" t="n"/>
      <c r="F30" s="66" t="inlineStr">
        <is>
          <t>仓库/分支/环境/AI规范/四道门禁CI-CD/前端骨架</t>
        </is>
      </c>
      <c r="G30" s="67" t="n">
        <v>7</v>
      </c>
      <c r="H30" s="66" t="inlineStr">
        <is>
          <t>后端骨架+本地Docker环境</t>
        </is>
      </c>
      <c r="I30" s="67" t="n">
        <v>2</v>
      </c>
      <c r="J30" s="66" t="inlineStr">
        <is>
          <t>—</t>
        </is>
      </c>
      <c r="K30" s="67" t="n"/>
      <c r="L30" s="66" t="inlineStr">
        <is>
          <t>—</t>
        </is>
      </c>
      <c r="M30" s="67" t="n"/>
      <c r="N30" s="67">
        <f>ROUND(E30+G30+I30+K30+M30,2)</f>
        <v/>
      </c>
      <c r="O30" s="66" t="inlineStr">
        <is>
          <t>3.1.1,3.1.2,3.1.3,3.1.4…</t>
        </is>
      </c>
      <c r="P30" s="65" t="inlineStr">
        <is>
          <t>09/22</t>
        </is>
      </c>
    </row>
    <row r="31" ht="34" customHeight="1">
      <c r="A31" s="65" t="inlineStr">
        <is>
          <t>G3</t>
        </is>
      </c>
      <c r="B31" s="66" t="inlineStr">
        <is>
          <t>公共支撑</t>
        </is>
      </c>
      <c r="C31" s="66" t="inlineStr">
        <is>
          <t>架构与非功能设计</t>
        </is>
      </c>
      <c r="D31" s="66" t="inlineStr">
        <is>
          <t>—</t>
        </is>
      </c>
      <c r="E31" s="67" t="n"/>
      <c r="F31" s="66" t="inlineStr">
        <is>
          <t>UC权限与查询模型/资源验收/架构终稿/外部评审#1/M2</t>
        </is>
      </c>
      <c r="G31" s="67" t="n">
        <v>4.5</v>
      </c>
      <c r="H31" s="66" t="inlineStr">
        <is>
          <t>四层表结构/DDL/分层设计/迁移方案/安全与非功能设计</t>
        </is>
      </c>
      <c r="I31" s="67" t="n">
        <v>12</v>
      </c>
      <c r="J31" s="66" t="inlineStr">
        <is>
          <t>—</t>
        </is>
      </c>
      <c r="K31" s="67" t="n"/>
      <c r="L31" s="66" t="inlineStr">
        <is>
          <t>—</t>
        </is>
      </c>
      <c r="M31" s="67" t="n"/>
      <c r="N31" s="67">
        <f>ROUND(E31+G31+I31+K31+M31,2)</f>
        <v/>
      </c>
      <c r="O31" s="66" t="inlineStr">
        <is>
          <t>3.3.2,3.3.3,3.3.4,3.3.5…</t>
        </is>
      </c>
      <c r="P31" s="65" t="inlineStr">
        <is>
          <t>10/09</t>
        </is>
      </c>
    </row>
    <row r="32" ht="34" customHeight="1">
      <c r="A32" s="65" t="inlineStr">
        <is>
          <t>G4</t>
        </is>
      </c>
      <c r="B32" s="66" t="inlineStr">
        <is>
          <t>公共支撑</t>
        </is>
      </c>
      <c r="C32" s="66" t="inlineStr">
        <is>
          <t>数据与测试基础</t>
        </is>
      </c>
      <c r="D32" s="66" t="inlineStr">
        <is>
          <t>—</t>
        </is>
      </c>
      <c r="E32" s="67" t="n"/>
      <c r="F32" s="66" t="inlineStr">
        <is>
          <t>技术债偿还（A侧）</t>
        </is>
      </c>
      <c r="G32" s="67" t="n">
        <v>1</v>
      </c>
      <c r="H32" s="66" t="inlineStr">
        <is>
          <t>RAW/四层落地/SERVE物化/增量接入框架</t>
        </is>
      </c>
      <c r="I32" s="67" t="n">
        <v>3</v>
      </c>
      <c r="J32" s="66" t="inlineStr">
        <is>
          <t>测试计划/样本数据集</t>
        </is>
      </c>
      <c r="K32" s="67" t="n">
        <v>2</v>
      </c>
      <c r="L32" s="66" t="inlineStr">
        <is>
          <t>手册合稿/操作手册</t>
        </is>
      </c>
      <c r="M32" s="67" t="n">
        <v>1.5</v>
      </c>
      <c r="N32" s="67">
        <f>ROUND(E32+G32+I32+K32+M32,2)</f>
        <v/>
      </c>
      <c r="O32" s="66" t="inlineStr">
        <is>
          <t>5.1.6,4.2.4,4.2.7,5.2.9…</t>
        </is>
      </c>
      <c r="P32" s="65" t="inlineStr">
        <is>
          <t>11/10</t>
        </is>
      </c>
    </row>
    <row r="33" ht="34" customHeight="1">
      <c r="A33" s="65" t="inlineStr">
        <is>
          <t>G5</t>
        </is>
      </c>
      <c r="B33" s="66" t="inlineStr">
        <is>
          <t>公共支撑</t>
        </is>
      </c>
      <c r="C33" s="66" t="inlineStr">
        <is>
          <t>系统集成与CC真实数据迁移</t>
        </is>
      </c>
      <c r="D33" s="66" t="inlineStr">
        <is>
          <t>—</t>
        </is>
      </c>
      <c r="E33" s="67" t="n"/>
      <c r="F33" s="66" t="inlineStr">
        <is>
          <t>M3端到端联调/全链路走查/CC界面适配/缺陷收敛/发布包/代码冻结M5</t>
        </is>
      </c>
      <c r="G33" s="67" t="n">
        <v>14</v>
      </c>
      <c r="H33" s="66" t="inlineStr">
        <is>
          <t>CC迁移演练/逐批对账/全量对账报告/预跑</t>
        </is>
      </c>
      <c r="I33" s="67" t="n">
        <v>13.5</v>
      </c>
      <c r="J33" s="66" t="inlineStr">
        <is>
          <t>系统测试轮1+回归</t>
        </is>
      </c>
      <c r="K33" s="67" t="n">
        <v>4.5</v>
      </c>
      <c r="L33" s="66" t="inlineStr">
        <is>
          <t>—</t>
        </is>
      </c>
      <c r="M33" s="67" t="n"/>
      <c r="N33" s="67">
        <f>ROUND(E33+G33+I33+K33+M33,2)</f>
        <v/>
      </c>
      <c r="O33" s="66" t="inlineStr">
        <is>
          <t>4.3.3,5.1.8,5.1.9,6.1.1…</t>
        </is>
      </c>
      <c r="P33" s="65" t="inlineStr">
        <is>
          <t>12/01</t>
        </is>
      </c>
    </row>
    <row r="34" ht="34" customHeight="1">
      <c r="A34" s="65" t="inlineStr">
        <is>
          <t>G6</t>
        </is>
      </c>
      <c r="B34" s="66" t="inlineStr">
        <is>
          <t>公共支撑</t>
        </is>
      </c>
      <c r="C34" s="66" t="inlineStr">
        <is>
          <t>系统测试与UAT</t>
        </is>
      </c>
      <c r="D34" s="66" t="inlineStr">
        <is>
          <t>—</t>
        </is>
      </c>
      <c r="E34" s="67" t="n"/>
      <c r="F34" s="66" t="inlineStr">
        <is>
          <t>前端/应用缺陷修复</t>
        </is>
      </c>
      <c r="G34" s="67" t="n">
        <v>1</v>
      </c>
      <c r="H34" s="66" t="inlineStr">
        <is>
          <t>数据/服务缺陷修复</t>
        </is>
      </c>
      <c r="I34" s="67" t="n">
        <v>1</v>
      </c>
      <c r="J34" s="66" t="inlineStr">
        <is>
          <t>UAT脚本/全量测试/UAT组织/26项核对</t>
        </is>
      </c>
      <c r="K34" s="67" t="n">
        <v>11.5</v>
      </c>
      <c r="L34" s="66" t="inlineStr">
        <is>
          <t>手册评审定稿/复盘</t>
        </is>
      </c>
      <c r="M34" s="67" t="n">
        <v>3</v>
      </c>
      <c r="N34" s="67">
        <f>ROUND(E34+G34+I34+K34+M34,2)</f>
        <v/>
      </c>
      <c r="O34" s="66" t="inlineStr">
        <is>
          <t>7.2.1,7.2.4,4.4.6,5.3.8…</t>
        </is>
      </c>
      <c r="P34" s="65" t="inlineStr">
        <is>
          <t>12/16</t>
        </is>
      </c>
    </row>
    <row r="35" ht="34" customHeight="1">
      <c r="A35" s="65" t="inlineStr">
        <is>
          <t>G7</t>
        </is>
      </c>
      <c r="B35" s="66" t="inlineStr">
        <is>
          <t>公共支撑</t>
        </is>
      </c>
      <c r="C35" s="66" t="inlineStr">
        <is>
          <t>非功能与质量专项验证</t>
        </is>
      </c>
      <c r="D35" s="66" t="inlineStr">
        <is>
          <t>—</t>
        </is>
      </c>
      <c r="E35" s="67" t="n"/>
      <c r="F35" s="66" t="inlineStr">
        <is>
          <t>性能粗调/部署预演/性能专项/就绪评审/外部评审#2</t>
        </is>
      </c>
      <c r="G35" s="67" t="n">
        <v>6.5</v>
      </c>
      <c r="H35" s="66" t="inlineStr">
        <is>
          <t>ADLS分层/迁移预跑/安全可靠性专项/数据核查</t>
        </is>
      </c>
      <c r="I35" s="67" t="n">
        <v>5.5</v>
      </c>
      <c r="J35" s="66" t="inlineStr">
        <is>
          <t>—</t>
        </is>
      </c>
      <c r="K35" s="67" t="n"/>
      <c r="L35" s="66" t="inlineStr">
        <is>
          <t>—</t>
        </is>
      </c>
      <c r="M35" s="67" t="n"/>
      <c r="N35" s="67">
        <f>ROUND(E35+G35+I35+K35+M35,2)</f>
        <v/>
      </c>
      <c r="O35" s="66" t="inlineStr">
        <is>
          <t>5.1.4,5.4.1,7.2.2,7.2.3…</t>
        </is>
      </c>
      <c r="P35" s="65" t="inlineStr">
        <is>
          <t>12/09</t>
        </is>
      </c>
    </row>
    <row r="36" ht="34" customHeight="1">
      <c r="A36" s="65" t="inlineStr">
        <is>
          <t>G8</t>
        </is>
      </c>
      <c r="B36" s="66" t="inlineStr">
        <is>
          <t>公共支撑</t>
        </is>
      </c>
      <c r="C36" s="66" t="inlineStr">
        <is>
          <t>部署上线与值守</t>
        </is>
      </c>
      <c r="D36" s="66" t="inlineStr">
        <is>
          <t>—</t>
        </is>
      </c>
      <c r="E36" s="67" t="n"/>
      <c r="F36" s="66" t="inlineStr">
        <is>
          <t>生产部署/冒烟验证/应用侧值守</t>
        </is>
      </c>
      <c r="G36" s="67" t="n">
        <v>5</v>
      </c>
      <c r="H36" s="66" t="inlineStr">
        <is>
          <t>CC全量迁移/作业启动/数据侧值守</t>
        </is>
      </c>
      <c r="I36" s="67" t="n">
        <v>5</v>
      </c>
      <c r="J36" s="66" t="inlineStr">
        <is>
          <t>上线支持/业务确认</t>
        </is>
      </c>
      <c r="K36" s="67" t="n">
        <v>1.5</v>
      </c>
      <c r="L36" s="66" t="inlineStr">
        <is>
          <t>交付物核对</t>
        </is>
      </c>
      <c r="M36" s="67" t="n">
        <v>1</v>
      </c>
      <c r="N36" s="67">
        <f>ROUND(E36+G36+I36+K36+M36,2)</f>
        <v/>
      </c>
      <c r="O36" s="66" t="inlineStr">
        <is>
          <t>8.1.1,8.1.4,8.2.5,8.1.2…</t>
        </is>
      </c>
      <c r="P36" s="65" t="inlineStr">
        <is>
          <t>12/16</t>
        </is>
      </c>
    </row>
    <row r="37" ht="34" customHeight="1">
      <c r="A37" s="65" t="inlineStr">
        <is>
          <t>G9</t>
        </is>
      </c>
      <c r="B37" s="66" t="inlineStr">
        <is>
          <t>公共支撑</t>
        </is>
      </c>
      <c r="C37" s="66" t="inlineStr">
        <is>
          <t>项目管理（Mark）</t>
        </is>
      </c>
      <c r="D37" s="66" t="inlineStr">
        <is>
          <t>—</t>
        </is>
      </c>
      <c r="E37" s="67" t="n"/>
      <c r="F37" s="66" t="inlineStr">
        <is>
          <t>—</t>
        </is>
      </c>
      <c r="G37" s="67" t="n"/>
      <c r="H37" s="66" t="inlineStr">
        <is>
          <t>—</t>
        </is>
      </c>
      <c r="I37" s="67" t="n"/>
      <c r="J37" s="66" t="inlineStr">
        <is>
          <t>—</t>
        </is>
      </c>
      <c r="K37" s="67" t="n"/>
      <c r="L37" s="66" t="inlineStr">
        <is>
          <t>会议纪要与项目文档整理（配合PM）</t>
        </is>
      </c>
      <c r="M37" s="67" t="n">
        <v>1</v>
      </c>
      <c r="N37" s="67">
        <f>ROUND(E37+G37+I37+K37+M37+15.0,2)</f>
        <v/>
      </c>
      <c r="O37" s="66" t="inlineStr">
        <is>
          <t>1.1.1,1.2.1,1.2.2,1.2.3…</t>
        </is>
      </c>
      <c r="P37" s="65" t="inlineStr">
        <is>
          <t>12/16</t>
        </is>
      </c>
    </row>
    <row r="38">
      <c r="A38" s="8" t="inlineStr">
        <is>
          <t>合计</t>
        </is>
      </c>
      <c r="B38" s="8" t="inlineStr"/>
      <c r="C38" s="8" t="inlineStr">
        <is>
          <t>26项功能 + 9类公共支撑</t>
        </is>
      </c>
      <c r="D38" s="8" t="inlineStr">
        <is>
          <t>Mandy·BA</t>
        </is>
      </c>
      <c r="E38" s="44">
        <f>ROUND(SUM(E3:E37),2)</f>
        <v/>
      </c>
      <c r="F38" s="8" t="inlineStr">
        <is>
          <t>Wade（开发A）</t>
        </is>
      </c>
      <c r="G38" s="44">
        <f>ROUND(SUM(G3:G37),2)</f>
        <v/>
      </c>
      <c r="H38" s="8" t="inlineStr">
        <is>
          <t>DevB（开发B）</t>
        </is>
      </c>
      <c r="I38" s="44">
        <f>ROUND(SUM(I3:I37),2)</f>
        <v/>
      </c>
      <c r="J38" s="8" t="inlineStr">
        <is>
          <t>Mandy·测试</t>
        </is>
      </c>
      <c r="K38" s="44">
        <f>ROUND(SUM(K3:K37),2)</f>
        <v/>
      </c>
      <c r="L38" s="8" t="inlineStr">
        <is>
          <t>Mandy·文档</t>
        </is>
      </c>
      <c r="M38" s="44">
        <f>ROUND(SUM(M3:M37),2)</f>
        <v/>
      </c>
      <c r="N38" s="44">
        <f>ROUND(SUM(N3:N37),2)</f>
        <v/>
      </c>
      <c r="O38" s="8" t="inlineStr"/>
      <c r="P38" s="8" t="inlineStr">
        <is>
          <t>PM Mark 15.0</t>
        </is>
      </c>
    </row>
    <row r="39">
      <c r="A39" s="68" t="inlineStr">
        <is>
          <t>对账：Mandy 50（BA 10.5 + 测试 29.5 + 文档 10.0）+ Wade 60 + DevB 60 + PM 15 = 185人天，与「WBS分解」「资源负荷与日历」完全一致；开发人天按关联WBS任务实际工作量分摊（共享任务按功能均分）；人天为空=该角色此功能无直接投入（工作量计入公共支撑行）</t>
        </is>
      </c>
    </row>
  </sheetData>
  <autoFilter ref="A2:P38"/>
  <mergeCells count="1">
    <mergeCell ref="A1:P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8FA9DB"/>
    <outlinePr summaryBelow="1" summaryRight="1"/>
    <pageSetUpPr/>
  </sheetPr>
  <dimension ref="A1:L106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9" customWidth="1" min="3" max="3"/>
    <col width="22" customWidth="1" min="4" max="4"/>
    <col width="40" customWidth="1" min="5" max="5"/>
    <col width="8" customWidth="1" min="6" max="6"/>
    <col width="10" customWidth="1" min="7" max="7"/>
    <col width="10" customWidth="1" min="8" max="8"/>
    <col width="8" customWidth="1" min="9" max="9"/>
    <col width="8" customWidth="1" min="10" max="10"/>
    <col width="8" customWidth="1" min="11" max="11"/>
    <col width="9" customWidth="1" min="12" max="12"/>
  </cols>
  <sheetData>
    <row r="1" ht="26" customHeight="1">
      <c r="A1" s="1" t="inlineStr">
        <is>
          <t>功能拆解估算（子任务级直估）：模块→功能→子任务三层结构，25项功能×72子任务 + 非功能与工程支撑×23子任务（F04-04异地灾备=Azure Blob原生能力，不计开发）— 独立估算，不锚定排期185人天</t>
        </is>
      </c>
    </row>
    <row r="2">
      <c r="A2" s="7" t="inlineStr">
        <is>
          <t>子任务编号</t>
        </is>
      </c>
      <c r="B2" s="7" t="inlineStr">
        <is>
          <t>模块</t>
        </is>
      </c>
      <c r="C2" s="7" t="inlineStr">
        <is>
          <t>功能/组名称</t>
        </is>
      </c>
      <c r="D2" s="7" t="inlineStr">
        <is>
          <t>子任务/工作包</t>
        </is>
      </c>
      <c r="E2" s="7" t="inlineStr">
        <is>
          <t>工作内容要点</t>
        </is>
      </c>
      <c r="F2" s="7" t="inlineStr">
        <is>
          <t>BA人天</t>
        </is>
      </c>
      <c r="G2" s="7" t="inlineStr">
        <is>
          <t>开发A·Wade</t>
        </is>
      </c>
      <c r="H2" s="7" t="inlineStr">
        <is>
          <t>开发B·DevB</t>
        </is>
      </c>
      <c r="I2" s="7" t="inlineStr">
        <is>
          <t>测试人天</t>
        </is>
      </c>
      <c r="J2" s="7" t="inlineStr">
        <is>
          <t>SLC人天（按功能）</t>
        </is>
      </c>
      <c r="K2" s="7" t="inlineStr">
        <is>
          <t>小计</t>
        </is>
      </c>
      <c r="L2" s="7" t="inlineStr">
        <is>
          <t>功能/组小计</t>
        </is>
      </c>
    </row>
    <row r="3" ht="26" customHeight="1">
      <c r="A3" s="15" t="inlineStr">
        <is>
          <t>F01-01-1</t>
        </is>
      </c>
      <c r="B3" s="106" t="inlineStr">
        <is>
          <t>模块1·存量历史数据迁移与标准化</t>
        </is>
      </c>
      <c r="C3" s="95" t="inlineStr">
        <is>
          <t>结构化历史数据批量导入</t>
        </is>
      </c>
      <c r="D3" s="32" t="inlineStr">
        <is>
          <t>原系统基本信息录入</t>
        </is>
      </c>
      <c r="E3" s="32" t="inlineStr">
        <is>
          <t>来源系统档案：系统编码/名称/业务域/责任人/退役批次；录入与维护界面+存储API</t>
        </is>
      </c>
      <c r="F3" s="46" t="n">
        <v>0.5</v>
      </c>
      <c r="G3" s="46" t="n">
        <v>1.5</v>
      </c>
      <c r="H3" s="46" t="n">
        <v>0.5</v>
      </c>
      <c r="I3" s="46" t="n">
        <v>0.5</v>
      </c>
      <c r="J3" s="74" t="n">
        <v>1</v>
      </c>
      <c r="K3" s="46">
        <f>ROUND(SUM(F3:I3),2)</f>
        <v/>
      </c>
      <c r="L3" s="74">
        <f>ROUND(SUM(F3:I9)+J3,2)</f>
        <v/>
      </c>
    </row>
    <row r="4" ht="26" customHeight="1">
      <c r="A4" s="15" t="inlineStr">
        <is>
          <t>F01-01-2</t>
        </is>
      </c>
      <c r="B4" s="102" t="n"/>
      <c r="C4" s="17" t="n"/>
      <c r="D4" s="32" t="inlineStr">
        <is>
          <t>源库DB连接配置</t>
        </is>
      </c>
      <c r="E4" s="32" t="inlineStr">
        <is>
          <t>DB类型/连接串录入，账号密码Key Vault加密存储，连通性测试</t>
        </is>
      </c>
      <c r="F4" s="46" t="n">
        <v>0.25</v>
      </c>
      <c r="G4" s="46" t="n">
        <v>1.5</v>
      </c>
      <c r="H4" s="46" t="n">
        <v>1</v>
      </c>
      <c r="I4" s="46" t="n">
        <v>0.5</v>
      </c>
      <c r="J4" s="17" t="n"/>
      <c r="K4" s="46">
        <f>ROUND(SUM(F4:I4),2)</f>
        <v/>
      </c>
      <c r="L4" s="17" t="n"/>
    </row>
    <row r="5" ht="26" customHeight="1">
      <c r="A5" s="15" t="inlineStr">
        <is>
          <t>F01-01-3</t>
        </is>
      </c>
      <c r="B5" s="102" t="n"/>
      <c r="C5" s="17" t="n"/>
      <c r="D5" s="32" t="inlineStr">
        <is>
          <t>同步表勾选</t>
        </is>
      </c>
      <c r="E5" s="32" t="inlineStr">
        <is>
          <t>拉取源表清单、勾选同步范围、数据量预估与全选过滤</t>
        </is>
      </c>
      <c r="F5" s="46" t="n">
        <v>0.25</v>
      </c>
      <c r="G5" s="46" t="n">
        <v>1.5</v>
      </c>
      <c r="H5" s="46" t="n">
        <v>1</v>
      </c>
      <c r="I5" s="46" t="n">
        <v>0.5</v>
      </c>
      <c r="J5" s="17" t="n"/>
      <c r="K5" s="46">
        <f>ROUND(SUM(F5:I5),2)</f>
        <v/>
      </c>
      <c r="L5" s="17" t="n"/>
    </row>
    <row r="6" ht="26" customHeight="1">
      <c r="A6" s="15" t="inlineStr">
        <is>
          <t>F01-01-4</t>
        </is>
      </c>
      <c r="B6" s="102" t="n"/>
      <c r="C6" s="17" t="n"/>
      <c r="D6" s="32" t="inlineStr">
        <is>
          <t>保留期限与迁移参数配置</t>
        </is>
      </c>
      <c r="E6" s="32" t="inlineStr">
        <is>
          <t>保留策略绑定、迁移批次命名、并发/限速参数</t>
        </is>
      </c>
      <c r="F6" s="46" t="n">
        <v>0.5</v>
      </c>
      <c r="G6" s="46" t="n">
        <v>1</v>
      </c>
      <c r="H6" s="46" t="n">
        <v>0.5</v>
      </c>
      <c r="I6" s="46" t="n">
        <v>0.25</v>
      </c>
      <c r="J6" s="17" t="n"/>
      <c r="K6" s="46">
        <f>ROUND(SUM(F6:I6),2)</f>
        <v/>
      </c>
      <c r="L6" s="17" t="n"/>
    </row>
    <row r="7" ht="26" customHeight="1">
      <c r="A7" s="15" t="inlineStr">
        <is>
          <t>F01-01-5</t>
        </is>
      </c>
      <c r="B7" s="102" t="n"/>
      <c r="C7" s="17" t="n"/>
      <c r="D7" s="32" t="inlineStr">
        <is>
          <t>存储落地实现（Iceberg/UC）</t>
        </is>
      </c>
      <c r="E7" s="32" t="inlineStr">
        <is>
          <t>磁盘目录布局、Iceberg表属性与分区策略、UC目录/Schema/授权配置化</t>
        </is>
      </c>
      <c r="F7" s="46" t="n">
        <v>0.25</v>
      </c>
      <c r="G7" s="46" t="n"/>
      <c r="H7" s="46" t="n">
        <v>2</v>
      </c>
      <c r="I7" s="46" t="n">
        <v>0.5</v>
      </c>
      <c r="J7" s="17" t="n"/>
      <c r="K7" s="46">
        <f>ROUND(SUM(F7:I7),2)</f>
        <v/>
      </c>
      <c r="L7" s="17" t="n"/>
    </row>
    <row r="8" ht="26" customHeight="1">
      <c r="A8" s="15" t="inlineStr">
        <is>
          <t>F01-01-6</t>
        </is>
      </c>
      <c r="B8" s="102" t="n"/>
      <c r="C8" s="17" t="n"/>
      <c r="D8" s="32" t="inlineStr">
        <is>
          <t>SeaTunnel批量导入作业</t>
        </is>
      </c>
      <c r="E8" s="32" t="inlineStr">
        <is>
          <t>作业配置生成器、分片/断点续传/限速执行</t>
        </is>
      </c>
      <c r="F8" s="46" t="n"/>
      <c r="G8" s="46" t="n">
        <v>0.5</v>
      </c>
      <c r="H8" s="46" t="n">
        <v>2</v>
      </c>
      <c r="I8" s="46" t="n">
        <v>1</v>
      </c>
      <c r="J8" s="17" t="n"/>
      <c r="K8" s="46">
        <f>ROUND(SUM(F8:I8),2)</f>
        <v/>
      </c>
      <c r="L8" s="17" t="n"/>
    </row>
    <row r="9" ht="26" customHeight="1">
      <c r="A9" s="15" t="inlineStr">
        <is>
          <t>F01-01-7</t>
        </is>
      </c>
      <c r="B9" s="102" t="n"/>
      <c r="C9" s="17" t="n"/>
      <c r="D9" s="32" t="inlineStr">
        <is>
          <t>导入执行与监控</t>
        </is>
      </c>
      <c r="E9" s="32" t="inlineStr">
        <is>
          <t>任务状态/进度/失败重试/日志查看</t>
        </is>
      </c>
      <c r="F9" s="46" t="n"/>
      <c r="G9" s="46" t="n">
        <v>1.5</v>
      </c>
      <c r="H9" s="46" t="n">
        <v>0.5</v>
      </c>
      <c r="I9" s="46" t="n">
        <v>0.5</v>
      </c>
      <c r="J9" s="17" t="n"/>
      <c r="K9" s="46">
        <f>ROUND(SUM(F9:I9),2)</f>
        <v/>
      </c>
      <c r="L9" s="17" t="n"/>
    </row>
    <row r="10" ht="26" customHeight="1">
      <c r="A10" s="15" t="inlineStr">
        <is>
          <t>F01-02-1</t>
        </is>
      </c>
      <c r="B10" s="102" t="n"/>
      <c r="C10" s="95" t="inlineStr">
        <is>
          <t>非结构化文件及离线包批量导入</t>
        </is>
      </c>
      <c r="D10" s="32" t="inlineStr">
        <is>
          <t>文件来源登记与上传通道</t>
        </is>
      </c>
      <c r="E10" s="32" t="inlineStr">
        <is>
          <t>在线上传/共享路径挂载/离线介质登记</t>
        </is>
      </c>
      <c r="F10" s="46" t="n">
        <v>0.25</v>
      </c>
      <c r="G10" s="46" t="n">
        <v>2</v>
      </c>
      <c r="H10" s="46" t="n">
        <v>1</v>
      </c>
      <c r="I10" s="46" t="n">
        <v>0.5</v>
      </c>
      <c r="J10" s="74" t="n">
        <v>0.5</v>
      </c>
      <c r="K10" s="46">
        <f>ROUND(SUM(F10:I10),2)</f>
        <v/>
      </c>
      <c r="L10" s="74">
        <f>ROUND(SUM(F10:I13)+J10,2)</f>
        <v/>
      </c>
    </row>
    <row r="11" ht="26" customHeight="1">
      <c r="A11" s="15" t="inlineStr">
        <is>
          <t>F01-02-2</t>
        </is>
      </c>
      <c r="B11" s="102" t="n"/>
      <c r="C11" s="17" t="n"/>
      <c r="D11" s="32" t="inlineStr">
        <is>
          <t>大文件分片上传与断点续传</t>
        </is>
      </c>
      <c r="E11" s="32" t="inlineStr">
        <is>
          <t>前端分片上传、后端合并与校验</t>
        </is>
      </c>
      <c r="F11" s="46" t="n"/>
      <c r="G11" s="46" t="n">
        <v>1.5</v>
      </c>
      <c r="H11" s="46" t="n">
        <v>1.5</v>
      </c>
      <c r="I11" s="46" t="n">
        <v>1</v>
      </c>
      <c r="J11" s="17" t="n"/>
      <c r="K11" s="46">
        <f>ROUND(SUM(F11:I11),2)</f>
        <v/>
      </c>
      <c r="L11" s="17" t="n"/>
    </row>
    <row r="12" ht="26" customHeight="1">
      <c r="A12" s="15" t="inlineStr">
        <is>
          <t>F01-02-3</t>
        </is>
      </c>
      <c r="B12" s="102" t="n"/>
      <c r="C12" s="17" t="n"/>
      <c r="D12" s="32" t="inlineStr">
        <is>
          <t>文件包解析</t>
        </is>
      </c>
      <c r="E12" s="32" t="inlineStr">
        <is>
          <t>zip/tar/数据库备份包识别与展开、原始属性保留</t>
        </is>
      </c>
      <c r="F12" s="46" t="n"/>
      <c r="G12" s="46" t="n"/>
      <c r="H12" s="46" t="n">
        <v>1.5</v>
      </c>
      <c r="I12" s="46" t="n">
        <v>0.75</v>
      </c>
      <c r="J12" s="17" t="n"/>
      <c r="K12" s="46">
        <f>ROUND(SUM(F12:I12),2)</f>
        <v/>
      </c>
      <c r="L12" s="17" t="n"/>
    </row>
    <row r="13" ht="26" customHeight="1">
      <c r="A13" s="15" t="inlineStr">
        <is>
          <t>F01-02-4</t>
        </is>
      </c>
      <c r="B13" s="102" t="n"/>
      <c r="C13" s="17" t="n"/>
      <c r="D13" s="32" t="inlineStr">
        <is>
          <t>附件元数据与Blob存储布局</t>
        </is>
      </c>
      <c r="E13" s="32" t="inlineStr">
        <is>
          <t>附件索引表、路径规范、与结构化记录关联</t>
        </is>
      </c>
      <c r="F13" s="46" t="n">
        <v>0.25</v>
      </c>
      <c r="G13" s="46" t="n"/>
      <c r="H13" s="46" t="n">
        <v>1.5</v>
      </c>
      <c r="I13" s="46" t="n">
        <v>0.5</v>
      </c>
      <c r="J13" s="17" t="n"/>
      <c r="K13" s="46">
        <f>ROUND(SUM(F13:I13),2)</f>
        <v/>
      </c>
      <c r="L13" s="17" t="n"/>
    </row>
    <row r="14" ht="26" customHeight="1">
      <c r="A14" s="15" t="inlineStr">
        <is>
          <t>F01-03-1</t>
        </is>
      </c>
      <c r="B14" s="102" t="n"/>
      <c r="C14" s="95" t="inlineStr">
        <is>
          <t>数据导入规则配置</t>
        </is>
      </c>
      <c r="D14" s="32" t="inlineStr">
        <is>
          <t>字段映射规则配置</t>
        </is>
      </c>
      <c r="E14" s="32" t="inlineStr">
        <is>
          <t>源字段→标准字段映射界面、自动映射建议</t>
        </is>
      </c>
      <c r="F14" s="46" t="n">
        <v>0.5</v>
      </c>
      <c r="G14" s="46" t="n">
        <v>2</v>
      </c>
      <c r="H14" s="46" t="n">
        <v>0.5</v>
      </c>
      <c r="I14" s="46" t="n">
        <v>0.5</v>
      </c>
      <c r="J14" s="74" t="n">
        <v>0.5</v>
      </c>
      <c r="K14" s="46">
        <f>ROUND(SUM(F14:I14),2)</f>
        <v/>
      </c>
      <c r="L14" s="74">
        <f>ROUND(SUM(F14:I17)+J14,2)</f>
        <v/>
      </c>
    </row>
    <row r="15" ht="26" customHeight="1">
      <c r="A15" s="15" t="inlineStr">
        <is>
          <t>F01-03-2</t>
        </is>
      </c>
      <c r="B15" s="102" t="n"/>
      <c r="C15" s="17" t="n"/>
      <c r="D15" s="32" t="inlineStr">
        <is>
          <t>格式转换与清洗规则</t>
        </is>
      </c>
      <c r="E15" s="32" t="inlineStr">
        <is>
          <t>类型转换/编码/默认值/脏数据处理策略</t>
        </is>
      </c>
      <c r="F15" s="46" t="n">
        <v>0.5</v>
      </c>
      <c r="G15" s="46" t="n"/>
      <c r="H15" s="46" t="n">
        <v>1.5</v>
      </c>
      <c r="I15" s="46" t="n">
        <v>0.75</v>
      </c>
      <c r="J15" s="17" t="n"/>
      <c r="K15" s="46">
        <f>ROUND(SUM(F15:I15),2)</f>
        <v/>
      </c>
      <c r="L15" s="17" t="n"/>
    </row>
    <row r="16" ht="26" customHeight="1">
      <c r="A16" s="15" t="inlineStr">
        <is>
          <t>F01-03-3</t>
        </is>
      </c>
      <c r="B16" s="102" t="n"/>
      <c r="C16" s="17" t="n"/>
      <c r="D16" s="32" t="inlineStr">
        <is>
          <t>校验规则配置</t>
        </is>
      </c>
      <c r="E16" s="32" t="inlineStr">
        <is>
          <t>必填/唯一/范围/自定义表达式校验</t>
        </is>
      </c>
      <c r="F16" s="46" t="n"/>
      <c r="G16" s="46" t="n">
        <v>1</v>
      </c>
      <c r="H16" s="46" t="n">
        <v>1</v>
      </c>
      <c r="I16" s="46" t="n">
        <v>0.5</v>
      </c>
      <c r="J16" s="17" t="n"/>
      <c r="K16" s="46">
        <f>ROUND(SUM(F16:I16),2)</f>
        <v/>
      </c>
      <c r="L16" s="17" t="n"/>
    </row>
    <row r="17" ht="26" customHeight="1">
      <c r="A17" s="15" t="inlineStr">
        <is>
          <t>F01-03-4</t>
        </is>
      </c>
      <c r="B17" s="102" t="n"/>
      <c r="C17" s="17" t="n"/>
      <c r="D17" s="32" t="inlineStr">
        <is>
          <t>规则版本与试跑预览</t>
        </is>
      </c>
      <c r="E17" s="32" t="inlineStr">
        <is>
          <t>规则版本管理、样本试跑与结果预览</t>
        </is>
      </c>
      <c r="F17" s="46" t="n"/>
      <c r="G17" s="46" t="n">
        <v>0.5</v>
      </c>
      <c r="H17" s="46" t="n">
        <v>1</v>
      </c>
      <c r="I17" s="46" t="n">
        <v>0.5</v>
      </c>
      <c r="J17" s="17" t="n"/>
      <c r="K17" s="46">
        <f>ROUND(SUM(F17:I17),2)</f>
        <v/>
      </c>
      <c r="L17" s="17" t="n"/>
    </row>
    <row r="18" ht="26" customHeight="1">
      <c r="A18" s="15" t="inlineStr">
        <is>
          <t>F01-04-1</t>
        </is>
      </c>
      <c r="B18" s="102" t="n"/>
      <c r="C18" s="95" t="inlineStr">
        <is>
          <t>迁移前完整性基准记录</t>
        </is>
      </c>
      <c r="D18" s="32" t="inlineStr">
        <is>
          <t>基准采集策略定义</t>
        </is>
      </c>
      <c r="E18" s="32" t="inlineStr">
        <is>
          <t>行数/校验和/SHA-256抽样口径</t>
        </is>
      </c>
      <c r="F18" s="46" t="n">
        <v>0.5</v>
      </c>
      <c r="G18" s="46" t="n"/>
      <c r="H18" s="46" t="n">
        <v>1</v>
      </c>
      <c r="I18" s="46" t="n">
        <v>0.25</v>
      </c>
      <c r="J18" s="74" t="n">
        <v>0.5</v>
      </c>
      <c r="K18" s="46">
        <f>ROUND(SUM(F18:I18),2)</f>
        <v/>
      </c>
      <c r="L18" s="74">
        <f>ROUND(SUM(F18:I20)+J18,2)</f>
        <v/>
      </c>
    </row>
    <row r="19" ht="26" customHeight="1">
      <c r="A19" s="15" t="inlineStr">
        <is>
          <t>F01-04-2</t>
        </is>
      </c>
      <c r="B19" s="102" t="n"/>
      <c r="C19" s="17" t="n"/>
      <c r="D19" s="32" t="inlineStr">
        <is>
          <t>基准采集作业与存储</t>
        </is>
      </c>
      <c r="E19" s="32" t="inlineStr">
        <is>
          <t>源端基准快照生成、基准库表</t>
        </is>
      </c>
      <c r="F19" s="46" t="n"/>
      <c r="G19" s="46" t="n"/>
      <c r="H19" s="46" t="n">
        <v>1.5</v>
      </c>
      <c r="I19" s="46" t="n">
        <v>0.5</v>
      </c>
      <c r="J19" s="17" t="n"/>
      <c r="K19" s="46">
        <f>ROUND(SUM(F19:I19),2)</f>
        <v/>
      </c>
      <c r="L19" s="17" t="n"/>
    </row>
    <row r="20" ht="26" customHeight="1">
      <c r="A20" s="15" t="inlineStr">
        <is>
          <t>F01-04-3</t>
        </is>
      </c>
      <c r="B20" s="102" t="n"/>
      <c r="C20" s="17" t="n"/>
      <c r="D20" s="32" t="inlineStr">
        <is>
          <t>基准报告查询展示</t>
        </is>
      </c>
      <c r="E20" s="32" t="inlineStr">
        <is>
          <t>基准结果展示与导出</t>
        </is>
      </c>
      <c r="F20" s="46" t="n"/>
      <c r="G20" s="46" t="n">
        <v>0.5</v>
      </c>
      <c r="H20" s="46" t="n">
        <v>0.25</v>
      </c>
      <c r="I20" s="46" t="n">
        <v>0.25</v>
      </c>
      <c r="J20" s="17" t="n"/>
      <c r="K20" s="46">
        <f>ROUND(SUM(F20:I20),2)</f>
        <v/>
      </c>
      <c r="L20" s="17" t="n"/>
    </row>
    <row r="21" ht="26" customHeight="1">
      <c r="A21" s="15" t="inlineStr">
        <is>
          <t>F01-05-1</t>
        </is>
      </c>
      <c r="B21" s="102" t="n"/>
      <c r="C21" s="95" t="inlineStr">
        <is>
          <t>迁移后完整性比对</t>
        </is>
      </c>
      <c r="D21" s="32" t="inlineStr">
        <is>
          <t>比对引擎</t>
        </is>
      </c>
      <c r="E21" s="32" t="inlineStr">
        <is>
          <t>RAW/CURATED逐层行数与校验和比对、抽样SHA-256</t>
        </is>
      </c>
      <c r="F21" s="46" t="n"/>
      <c r="G21" s="46" t="n"/>
      <c r="H21" s="46" t="n">
        <v>2</v>
      </c>
      <c r="I21" s="46" t="n">
        <v>0.75</v>
      </c>
      <c r="J21" s="74" t="n">
        <v>0.5</v>
      </c>
      <c r="K21" s="46">
        <f>ROUND(SUM(F21:I21),2)</f>
        <v/>
      </c>
      <c r="L21" s="74">
        <f>ROUND(SUM(F21:I22)+J21,2)</f>
        <v/>
      </c>
    </row>
    <row r="22" ht="26" customHeight="1">
      <c r="A22" s="15" t="inlineStr">
        <is>
          <t>F01-05-2</t>
        </is>
      </c>
      <c r="B22" s="103" t="n"/>
      <c r="C22" s="17" t="n"/>
      <c r="D22" s="32" t="inlineStr">
        <is>
          <t>差异报告与处理流程</t>
        </is>
      </c>
      <c r="E22" s="32" t="inlineStr">
        <is>
          <t>差异清单、重迁/豁免记录</t>
        </is>
      </c>
      <c r="F22" s="46" t="n">
        <v>0.25</v>
      </c>
      <c r="G22" s="46" t="n">
        <v>1</v>
      </c>
      <c r="H22" s="46" t="n">
        <v>0.5</v>
      </c>
      <c r="I22" s="46" t="n">
        <v>0.5</v>
      </c>
      <c r="J22" s="17" t="n"/>
      <c r="K22" s="46">
        <f>ROUND(SUM(F22:I22),2)</f>
        <v/>
      </c>
      <c r="L22" s="17" t="n"/>
    </row>
    <row r="23" ht="26" customHeight="1">
      <c r="A23" s="15" t="inlineStr">
        <is>
          <t>F02-01-1</t>
        </is>
      </c>
      <c r="B23" s="107" t="inlineStr">
        <is>
          <t>模块2·实时数据接入与常态化数据治理</t>
        </is>
      </c>
      <c r="C23" s="96" t="inlineStr">
        <is>
          <t>统一元数据模型</t>
        </is>
      </c>
      <c r="D23" s="32" t="inlineStr">
        <is>
          <t>元数据字段体系定义</t>
        </is>
      </c>
      <c r="E23" s="32" t="inlineStr">
        <is>
          <t>字段/类型/必填/密级/保留等级字典</t>
        </is>
      </c>
      <c r="F23" s="46" t="n">
        <v>1.5</v>
      </c>
      <c r="G23" s="46" t="n"/>
      <c r="H23" s="46" t="n">
        <v>0.5</v>
      </c>
      <c r="I23" s="46" t="n">
        <v>0.25</v>
      </c>
      <c r="J23" s="77" t="n">
        <v>0.5</v>
      </c>
      <c r="K23" s="46">
        <f>ROUND(SUM(F23:I23),2)</f>
        <v/>
      </c>
      <c r="L23" s="77">
        <f>ROUND(SUM(F23:I25)+J23,2)</f>
        <v/>
      </c>
    </row>
    <row r="24" ht="26" customHeight="1">
      <c r="A24" s="15" t="inlineStr">
        <is>
          <t>F02-01-2</t>
        </is>
      </c>
      <c r="B24" s="102" t="n"/>
      <c r="C24" s="17" t="n"/>
      <c r="D24" s="32" t="inlineStr">
        <is>
          <t>元数据核心表与API</t>
        </is>
      </c>
      <c r="E24" s="32" t="inlineStr">
        <is>
          <t>核心元数据表实现、CRUD API、Migration</t>
        </is>
      </c>
      <c r="F24" s="46" t="n"/>
      <c r="G24" s="46" t="n"/>
      <c r="H24" s="46" t="n">
        <v>2</v>
      </c>
      <c r="I24" s="46" t="n">
        <v>0.5</v>
      </c>
      <c r="J24" s="17" t="n"/>
      <c r="K24" s="46">
        <f>ROUND(SUM(F24:I24),2)</f>
        <v/>
      </c>
      <c r="L24" s="17" t="n"/>
    </row>
    <row r="25" ht="26" customHeight="1">
      <c r="A25" s="15" t="inlineStr">
        <is>
          <t>F02-01-3</t>
        </is>
      </c>
      <c r="B25" s="102" t="n"/>
      <c r="C25" s="17" t="n"/>
      <c r="D25" s="32" t="inlineStr">
        <is>
          <t>元数据驱动配置机制</t>
        </is>
      </c>
      <c r="E25" s="32" t="inlineStr">
        <is>
          <t>查询配置模型、动态表单渲染协议</t>
        </is>
      </c>
      <c r="F25" s="46" t="n">
        <v>0.25</v>
      </c>
      <c r="G25" s="46" t="n">
        <v>2</v>
      </c>
      <c r="H25" s="46" t="n">
        <v>0.5</v>
      </c>
      <c r="I25" s="46" t="n">
        <v>0.5</v>
      </c>
      <c r="J25" s="17" t="n"/>
      <c r="K25" s="46">
        <f>ROUND(SUM(F25:I25),2)</f>
        <v/>
      </c>
      <c r="L25" s="17" t="n"/>
    </row>
    <row r="26" ht="26" customHeight="1">
      <c r="A26" s="15" t="inlineStr">
        <is>
          <t>F02-02-1</t>
        </is>
      </c>
      <c r="B26" s="102" t="n"/>
      <c r="C26" s="96" t="inlineStr">
        <is>
          <t>来源系统信息绑定</t>
        </is>
      </c>
      <c r="D26" s="32" t="inlineStr">
        <is>
          <t>绑定规则与批次属性</t>
        </is>
      </c>
      <c r="E26" s="32" t="inlineStr">
        <is>
          <t>源编码引用、退役项目/迁移批次属性规则</t>
        </is>
      </c>
      <c r="F26" s="46" t="n">
        <v>0.5</v>
      </c>
      <c r="G26" s="46" t="n"/>
      <c r="H26" s="46" t="n">
        <v>0.75</v>
      </c>
      <c r="I26" s="46" t="n">
        <v>0.25</v>
      </c>
      <c r="J26" s="77" t="n">
        <v>0.5</v>
      </c>
      <c r="K26" s="46">
        <f>ROUND(SUM(F26:I26),2)</f>
        <v/>
      </c>
      <c r="L26" s="77">
        <f>ROUND(SUM(F26:I28)+J26,2)</f>
        <v/>
      </c>
    </row>
    <row r="27" ht="26" customHeight="1">
      <c r="A27" s="15" t="inlineStr">
        <is>
          <t>F02-02-2</t>
        </is>
      </c>
      <c r="B27" s="102" t="n"/>
      <c r="C27" s="17" t="n"/>
      <c r="D27" s="32" t="inlineStr">
        <is>
          <t>接入时自动绑定</t>
        </is>
      </c>
      <c r="E27" s="32" t="inlineStr">
        <is>
          <t>导入/上传时来源属性自动写入与校验</t>
        </is>
      </c>
      <c r="F27" s="46" t="n"/>
      <c r="G27" s="46" t="n"/>
      <c r="H27" s="46" t="n">
        <v>1</v>
      </c>
      <c r="I27" s="46" t="n">
        <v>0.5</v>
      </c>
      <c r="J27" s="17" t="n"/>
      <c r="K27" s="46">
        <f>ROUND(SUM(F27:I27),2)</f>
        <v/>
      </c>
      <c r="L27" s="17" t="n"/>
    </row>
    <row r="28" ht="26" customHeight="1">
      <c r="A28" s="15" t="inlineStr">
        <is>
          <t>F02-02-3</t>
        </is>
      </c>
      <c r="B28" s="103" t="n"/>
      <c r="C28" s="17" t="n"/>
      <c r="D28" s="32" t="inlineStr">
        <is>
          <t>按来源检索与统计</t>
        </is>
      </c>
      <c r="E28" s="32" t="inlineStr">
        <is>
          <t>来源维度筛选、统计报表</t>
        </is>
      </c>
      <c r="F28" s="46" t="n"/>
      <c r="G28" s="46" t="n">
        <v>1</v>
      </c>
      <c r="H28" s="46" t="n">
        <v>0.5</v>
      </c>
      <c r="I28" s="46" t="n">
        <v>0.5</v>
      </c>
      <c r="J28" s="17" t="n"/>
      <c r="K28" s="46">
        <f>ROUND(SUM(F28:I28),2)</f>
        <v/>
      </c>
      <c r="L28" s="17" t="n"/>
    </row>
    <row r="29" ht="26" customHeight="1">
      <c r="A29" s="15" t="inlineStr">
        <is>
          <t>F03-01-1</t>
        </is>
      </c>
      <c r="B29" s="108" t="inlineStr">
        <is>
          <t>模块3·记录归档与档案全生命周期管理</t>
        </is>
      </c>
      <c r="C29" s="97" t="inlineStr">
        <is>
          <t>保留期限到期自动删除</t>
        </is>
      </c>
      <c r="D29" s="32" t="inlineStr">
        <is>
          <t>保留策略配置</t>
        </is>
      </c>
      <c r="E29" s="32" t="inlineStr">
        <is>
          <t>策略规则、继承关系、生效范围</t>
        </is>
      </c>
      <c r="F29" s="46" t="n">
        <v>0.75</v>
      </c>
      <c r="G29" s="46" t="n">
        <v>1</v>
      </c>
      <c r="H29" s="46" t="n">
        <v>0.5</v>
      </c>
      <c r="I29" s="46" t="n">
        <v>0.5</v>
      </c>
      <c r="J29" s="80" t="n">
        <v>0.5</v>
      </c>
      <c r="K29" s="46">
        <f>ROUND(SUM(F29:I29),2)</f>
        <v/>
      </c>
      <c r="L29" s="80">
        <f>ROUND(SUM(F29:I31)+J29,2)</f>
        <v/>
      </c>
    </row>
    <row r="30" ht="26" customHeight="1">
      <c r="A30" s="15" t="inlineStr">
        <is>
          <t>F03-01-2</t>
        </is>
      </c>
      <c r="B30" s="102" t="n"/>
      <c r="C30" s="17" t="n"/>
      <c r="D30" s="32" t="inlineStr">
        <is>
          <t>处置引擎</t>
        </is>
      </c>
      <c r="E30" s="32" t="inlineStr">
        <is>
          <t>到期扫描、豁免检查、DROP PARTITION、VACUUM物理清除</t>
        </is>
      </c>
      <c r="F30" s="46" t="n"/>
      <c r="G30" s="46" t="n"/>
      <c r="H30" s="46" t="n">
        <v>2.5</v>
      </c>
      <c r="I30" s="46" t="n">
        <v>1</v>
      </c>
      <c r="J30" s="17" t="n"/>
      <c r="K30" s="46">
        <f>ROUND(SUM(F30:I30),2)</f>
        <v/>
      </c>
      <c r="L30" s="17" t="n"/>
    </row>
    <row r="31" ht="26" customHeight="1">
      <c r="A31" s="15" t="inlineStr">
        <is>
          <t>F03-01-3</t>
        </is>
      </c>
      <c r="B31" s="102" t="n"/>
      <c r="C31" s="17" t="n"/>
      <c r="D31" s="32" t="inlineStr">
        <is>
          <t>处置计划审批与台账</t>
        </is>
      </c>
      <c r="E31" s="32" t="inlineStr">
        <is>
          <t>预演清单、审批流、处置留痕台账</t>
        </is>
      </c>
      <c r="F31" s="46" t="n">
        <v>0.25</v>
      </c>
      <c r="G31" s="46" t="n">
        <v>1.5</v>
      </c>
      <c r="H31" s="46" t="n">
        <v>0.5</v>
      </c>
      <c r="I31" s="46" t="n">
        <v>0.5</v>
      </c>
      <c r="J31" s="17" t="n"/>
      <c r="K31" s="46">
        <f>ROUND(SUM(F31:I31),2)</f>
        <v/>
      </c>
      <c r="L31" s="17" t="n"/>
    </row>
    <row r="32" ht="26" customHeight="1">
      <c r="A32" s="15" t="inlineStr">
        <is>
          <t>F03-02-1</t>
        </is>
      </c>
      <c r="B32" s="102" t="n"/>
      <c r="C32" s="97" t="inlineStr">
        <is>
          <t>Legal Hold 冻结</t>
        </is>
      </c>
      <c r="D32" s="32" t="inlineStr">
        <is>
          <t>Hold申请与审批流程</t>
        </is>
      </c>
      <c r="E32" s="32" t="inlineStr">
        <is>
          <t>涉诉/审计/调查场景、审批链定义</t>
        </is>
      </c>
      <c r="F32" s="46" t="n">
        <v>0.75</v>
      </c>
      <c r="G32" s="46" t="n">
        <v>1</v>
      </c>
      <c r="H32" s="46" t="n">
        <v>0.25</v>
      </c>
      <c r="I32" s="46" t="n">
        <v>0.5</v>
      </c>
      <c r="J32" s="80" t="n">
        <v>0.5</v>
      </c>
      <c r="K32" s="46">
        <f>ROUND(SUM(F32:I32),2)</f>
        <v/>
      </c>
      <c r="L32" s="80">
        <f>ROUND(SUM(F32:I34)+J32,2)</f>
        <v/>
      </c>
    </row>
    <row r="33" ht="26" customHeight="1">
      <c r="A33" s="15" t="inlineStr">
        <is>
          <t>F03-02-2</t>
        </is>
      </c>
      <c r="B33" s="102" t="n"/>
      <c r="C33" s="17" t="n"/>
      <c r="D33" s="32" t="inlineStr">
        <is>
          <t>Hold生效与解除实现</t>
        </is>
      </c>
      <c r="E33" s="32" t="inlineStr">
        <is>
          <t>记录级/表级冻结、处置豁免、操作留痕</t>
        </is>
      </c>
      <c r="F33" s="46" t="n"/>
      <c r="G33" s="46" t="n"/>
      <c r="H33" s="46" t="n">
        <v>1.5</v>
      </c>
      <c r="I33" s="46" t="n">
        <v>0.75</v>
      </c>
      <c r="J33" s="17" t="n"/>
      <c r="K33" s="46">
        <f>ROUND(SUM(F33:I33),2)</f>
        <v/>
      </c>
      <c r="L33" s="17" t="n"/>
    </row>
    <row r="34" ht="26" customHeight="1">
      <c r="A34" s="15" t="inlineStr">
        <is>
          <t>F03-02-3</t>
        </is>
      </c>
      <c r="B34" s="103" t="n"/>
      <c r="C34" s="17" t="n"/>
      <c r="D34" s="32" t="inlineStr">
        <is>
          <t>Hold清单管理与提醒</t>
        </is>
      </c>
      <c r="E34" s="32" t="inlineStr">
        <is>
          <t>在Hold清单、解除预警</t>
        </is>
      </c>
      <c r="F34" s="46" t="n"/>
      <c r="G34" s="46" t="n">
        <v>0.5</v>
      </c>
      <c r="H34" s="46" t="n">
        <v>0.25</v>
      </c>
      <c r="I34" s="46" t="n">
        <v>0.25</v>
      </c>
      <c r="J34" s="17" t="n"/>
      <c r="K34" s="46">
        <f>ROUND(SUM(F34:I34),2)</f>
        <v/>
      </c>
      <c r="L34" s="17" t="n"/>
    </row>
    <row r="35" ht="26" customHeight="1">
      <c r="A35" s="15" t="inlineStr">
        <is>
          <t>F04-01-1</t>
        </is>
      </c>
      <c r="B35" s="109" t="inlineStr">
        <is>
          <t>模块4·数据存储与境内数据安全管控</t>
        </is>
      </c>
      <c r="C35" s="98" t="inlineStr">
        <is>
          <t>数据加密存储</t>
        </is>
      </c>
      <c r="D35" s="32" t="inlineStr">
        <is>
          <t>加密策略定义</t>
        </is>
      </c>
      <c r="E35" s="32" t="inlineStr">
        <is>
          <t>SSE+CMK方案、PII字段清单与字段级加密规则</t>
        </is>
      </c>
      <c r="F35" s="46" t="n">
        <v>0.5</v>
      </c>
      <c r="G35" s="46" t="n"/>
      <c r="H35" s="46" t="n">
        <v>0.75</v>
      </c>
      <c r="I35" s="46" t="n">
        <v>0.25</v>
      </c>
      <c r="J35" s="83" t="n">
        <v>0.5</v>
      </c>
      <c r="K35" s="46">
        <f>ROUND(SUM(F35:I35),2)</f>
        <v/>
      </c>
      <c r="L35" s="83">
        <f>ROUND(SUM(F35:I37)+J35,2)</f>
        <v/>
      </c>
    </row>
    <row r="36" ht="26" customHeight="1">
      <c r="A36" s="15" t="inlineStr">
        <is>
          <t>F04-01-2</t>
        </is>
      </c>
      <c r="B36" s="102" t="n"/>
      <c r="C36" s="17" t="n"/>
      <c r="D36" s="32" t="inlineStr">
        <is>
          <t>存储层加密落地【原生】</t>
        </is>
      </c>
      <c r="E36" s="32" t="inlineStr">
        <is>
          <t>ADLS SSE+CMK为存储账户原生选项：启用/托管密钥绑定/轮换/传输加密验证（配置为主）</t>
        </is>
      </c>
      <c r="F36" s="46" t="n"/>
      <c r="G36" s="46" t="n"/>
      <c r="H36" s="46" t="n">
        <v>0.5</v>
      </c>
      <c r="I36" s="46" t="n">
        <v>0.5</v>
      </c>
      <c r="J36" s="17" t="n"/>
      <c r="K36" s="46">
        <f>ROUND(SUM(F36:I36),2)</f>
        <v/>
      </c>
      <c r="L36" s="17" t="n"/>
    </row>
    <row r="37" ht="26" customHeight="1">
      <c r="A37" s="15" t="inlineStr">
        <is>
          <t>F04-01-3</t>
        </is>
      </c>
      <c r="B37" s="102" t="n"/>
      <c r="C37" s="17" t="n"/>
      <c r="D37" s="32" t="inlineStr">
        <is>
          <t>PII字段级加密服务</t>
        </is>
      </c>
      <c r="E37" s="32" t="inlineStr">
        <is>
          <t>应用层加解密、密文索引策略、传输加密验证</t>
        </is>
      </c>
      <c r="F37" s="46" t="n"/>
      <c r="G37" s="46" t="n"/>
      <c r="H37" s="46" t="n">
        <v>1.5</v>
      </c>
      <c r="I37" s="46" t="n">
        <v>0.75</v>
      </c>
      <c r="J37" s="17" t="n"/>
      <c r="K37" s="46">
        <f>ROUND(SUM(F37:I37),2)</f>
        <v/>
      </c>
      <c r="L37" s="17" t="n"/>
    </row>
    <row r="38" ht="26" customHeight="1">
      <c r="A38" s="15" t="inlineStr">
        <is>
          <t>F04-02-1</t>
        </is>
      </c>
      <c r="B38" s="102" t="n"/>
      <c r="C38" s="98" t="inlineStr">
        <is>
          <t>密钥管理</t>
        </is>
      </c>
      <c r="D38" s="32" t="inlineStr">
        <is>
          <t>密钥全流程管理【原生】</t>
        </is>
      </c>
      <c r="E38" s="32" t="inlineStr">
        <is>
          <t>Key Vault原生服务：创建/保管/轮换/吊销/权限=Key Vault+RBAC配置；开发仅应用侧Managed Identity集成与密钥引用</t>
        </is>
      </c>
      <c r="F38" s="46" t="n">
        <v>0.25</v>
      </c>
      <c r="G38" s="46" t="n"/>
      <c r="H38" s="46" t="n">
        <v>0.5</v>
      </c>
      <c r="I38" s="46" t="n">
        <v>0.5</v>
      </c>
      <c r="J38" s="83" t="n">
        <v>0.5</v>
      </c>
      <c r="K38" s="46">
        <f>ROUND(SUM(F38:I38),2)</f>
        <v/>
      </c>
      <c r="L38" s="83">
        <f>ROUND(SUM(F38:I40)+J38,2)</f>
        <v/>
      </c>
    </row>
    <row r="39" ht="26" customHeight="1">
      <c r="A39" s="15" t="inlineStr">
        <is>
          <t>F04-02-2</t>
        </is>
      </c>
      <c r="B39" s="102" t="n"/>
      <c r="C39" s="17" t="n"/>
      <c r="D39" s="32" t="inlineStr">
        <is>
          <t>密钥操作审计与告警【原生】</t>
        </is>
      </c>
      <c r="E39" s="32" t="inlineStr">
        <is>
          <t>Key Vault诊断日志+Azure Monitor原生告警，开发仅对接审计页</t>
        </is>
      </c>
      <c r="F39" s="46" t="n"/>
      <c r="G39" s="46" t="n">
        <v>0.25</v>
      </c>
      <c r="H39" s="46" t="n">
        <v>0.25</v>
      </c>
      <c r="I39" s="46" t="n">
        <v>0.5</v>
      </c>
      <c r="J39" s="17" t="n"/>
      <c r="K39" s="46">
        <f>ROUND(SUM(F39:I39),2)</f>
        <v/>
      </c>
      <c r="L39" s="17" t="n"/>
    </row>
    <row r="40" ht="26" customHeight="1">
      <c r="A40" s="15" t="inlineStr">
        <is>
          <t>F04-02-3</t>
        </is>
      </c>
      <c r="B40" s="102" t="n"/>
      <c r="C40" s="17" t="n"/>
      <c r="D40" s="32" t="inlineStr">
        <is>
          <t>密钥状态展示（不自研管理界面）【原生】</t>
        </is>
      </c>
      <c r="E40" s="32" t="inlineStr">
        <is>
          <t>密钥操作走Azure门户/CLI+RBAC，不自研管理界面；系统内仅密钥状态只读展示</t>
        </is>
      </c>
      <c r="F40" s="46" t="n"/>
      <c r="G40" s="46" t="n">
        <v>0.25</v>
      </c>
      <c r="H40" s="46" t="n"/>
      <c r="I40" s="46" t="n">
        <v>0.25</v>
      </c>
      <c r="J40" s="17" t="n"/>
      <c r="K40" s="46">
        <f>ROUND(SUM(F40:I40),2)</f>
        <v/>
      </c>
      <c r="L40" s="17" t="n"/>
    </row>
    <row r="41" ht="26" customHeight="1">
      <c r="A41" s="15" t="inlineStr">
        <is>
          <t>F04-03-1</t>
        </is>
      </c>
      <c r="B41" s="102" t="n"/>
      <c r="C41" s="98" t="inlineStr">
        <is>
          <t>数据备份管理</t>
        </is>
      </c>
      <c r="D41" s="32" t="inlineStr">
        <is>
          <t>备份策略配置</t>
        </is>
      </c>
      <c r="E41" s="32" t="inlineStr">
        <is>
          <t>备份周期/范围/保留期策略</t>
        </is>
      </c>
      <c r="F41" s="46" t="n">
        <v>0.5</v>
      </c>
      <c r="G41" s="46" t="n">
        <v>0.75</v>
      </c>
      <c r="H41" s="46" t="n">
        <v>0.5</v>
      </c>
      <c r="I41" s="46" t="n">
        <v>0.25</v>
      </c>
      <c r="J41" s="83" t="n">
        <v>0.5</v>
      </c>
      <c r="K41" s="46">
        <f>ROUND(SUM(F41:I41),2)</f>
        <v/>
      </c>
      <c r="L41" s="83">
        <f>ROUND(SUM(F41:I43)+J41,2)</f>
        <v/>
      </c>
    </row>
    <row r="42" ht="26" customHeight="1">
      <c r="A42" s="15" t="inlineStr">
        <is>
          <t>F04-03-2</t>
        </is>
      </c>
      <c r="B42" s="102" t="n"/>
      <c r="C42" s="17" t="n"/>
      <c r="D42" s="32" t="inlineStr">
        <is>
          <t>备份作业与副本创建【原生】</t>
        </is>
      </c>
      <c r="E42" s="32" t="inlineStr">
        <is>
          <t>SQL DB PITR/ADLS生命周期与副本均为原生策略：仅策略配置与脚本化启用</t>
        </is>
      </c>
      <c r="F42" s="46" t="n"/>
      <c r="G42" s="46" t="n"/>
      <c r="H42" s="46" t="n">
        <v>0.5</v>
      </c>
      <c r="I42" s="46" t="n">
        <v>0.5</v>
      </c>
      <c r="J42" s="17" t="n"/>
      <c r="K42" s="46">
        <f>ROUND(SUM(F42:I42),2)</f>
        <v/>
      </c>
      <c r="L42" s="17" t="n"/>
    </row>
    <row r="43" ht="26" customHeight="1">
      <c r="A43" s="15" t="inlineStr">
        <is>
          <t>F04-03-3</t>
        </is>
      </c>
      <c r="B43" s="103" t="n"/>
      <c r="C43" s="17" t="n"/>
      <c r="D43" s="32" t="inlineStr">
        <is>
          <t>备份监控与恢复操作【原生】</t>
        </is>
      </c>
      <c r="E43" s="32" t="inlineStr">
        <is>
          <t>Azure Monitor原生备份告警+恢复流程验证演练</t>
        </is>
      </c>
      <c r="F43" s="46" t="n"/>
      <c r="G43" s="46" t="n">
        <v>0.25</v>
      </c>
      <c r="H43" s="46" t="n">
        <v>0.25</v>
      </c>
      <c r="I43" s="46" t="n">
        <v>0.5</v>
      </c>
      <c r="J43" s="17" t="n"/>
      <c r="K43" s="46">
        <f>ROUND(SUM(F43:I43),2)</f>
        <v/>
      </c>
      <c r="L43" s="17" t="n"/>
    </row>
    <row r="44" ht="26" customHeight="1">
      <c r="A44" s="15" t="inlineStr">
        <is>
          <t>F05-01-1</t>
        </is>
      </c>
      <c r="B44" s="110" t="inlineStr">
        <is>
          <t>模块5·档案检索、智能发现与业务利用</t>
        </is>
      </c>
      <c r="C44" s="104" t="inlineStr">
        <is>
          <t>关键词检索</t>
        </is>
      </c>
      <c r="D44" s="32" t="inlineStr">
        <is>
          <t>检索配置模型</t>
        </is>
      </c>
      <c r="E44" s="32" t="inlineStr">
        <is>
          <t>可检索字段、分词策略、OCR文本索引策略</t>
        </is>
      </c>
      <c r="F44" s="46" t="n">
        <v>0.5</v>
      </c>
      <c r="G44" s="46" t="n">
        <v>0.5</v>
      </c>
      <c r="H44" s="46" t="n">
        <v>1</v>
      </c>
      <c r="I44" s="46" t="n">
        <v>0.25</v>
      </c>
      <c r="J44" s="105" t="n">
        <v>0.5</v>
      </c>
      <c r="K44" s="46">
        <f>ROUND(SUM(F44:I44),2)</f>
        <v/>
      </c>
      <c r="L44" s="105">
        <f>ROUND(SUM(F44:I46)+J44,2)</f>
        <v/>
      </c>
    </row>
    <row r="45" ht="26" customHeight="1">
      <c r="A45" s="15" t="inlineStr">
        <is>
          <t>F05-01-2</t>
        </is>
      </c>
      <c r="B45" s="102" t="n"/>
      <c r="C45" s="17" t="n"/>
      <c r="D45" s="32" t="inlineStr">
        <is>
          <t>检索页动态表单</t>
        </is>
      </c>
      <c r="E45" s="32" t="inlineStr">
        <is>
          <t>元数据驱动渲染、关键词与组合查询</t>
        </is>
      </c>
      <c r="F45" s="46" t="n"/>
      <c r="G45" s="46" t="n">
        <v>2</v>
      </c>
      <c r="H45" s="46" t="n">
        <v>0.25</v>
      </c>
      <c r="I45" s="46" t="n">
        <v>0.5</v>
      </c>
      <c r="J45" s="17" t="n"/>
      <c r="K45" s="46">
        <f>ROUND(SUM(F45:I45),2)</f>
        <v/>
      </c>
      <c r="L45" s="17" t="n"/>
    </row>
    <row r="46" ht="26" customHeight="1">
      <c r="A46" s="15" t="inlineStr">
        <is>
          <t>F05-01-3</t>
        </is>
      </c>
      <c r="B46" s="102" t="n"/>
      <c r="C46" s="17" t="n"/>
      <c r="D46" s="32" t="inlineStr">
        <is>
          <t>查询代理与SERVE层对接</t>
        </is>
      </c>
      <c r="E46" s="32" t="inlineStr">
        <is>
          <t>查询服务、索引优化、结果高亮</t>
        </is>
      </c>
      <c r="F46" s="46" t="n"/>
      <c r="G46" s="46" t="n"/>
      <c r="H46" s="46" t="n">
        <v>1.25</v>
      </c>
      <c r="I46" s="46" t="n">
        <v>0.75</v>
      </c>
      <c r="J46" s="17" t="n"/>
      <c r="K46" s="46">
        <f>ROUND(SUM(F46:I46),2)</f>
        <v/>
      </c>
      <c r="L46" s="17" t="n"/>
    </row>
    <row r="47" ht="26" customHeight="1">
      <c r="A47" s="15" t="inlineStr">
        <is>
          <t>F05-02-1</t>
        </is>
      </c>
      <c r="B47" s="102" t="n"/>
      <c r="C47" s="104" t="inlineStr">
        <is>
          <t>按系统名称检索</t>
        </is>
      </c>
      <c r="D47" s="32" t="inlineStr">
        <is>
          <t>来源系统筛选组件</t>
        </is>
      </c>
      <c r="E47" s="32" t="inlineStr">
        <is>
          <t>来源系统下拉/搜索/多选</t>
        </is>
      </c>
      <c r="F47" s="46" t="n"/>
      <c r="G47" s="46" t="n">
        <v>0.75</v>
      </c>
      <c r="H47" s="46" t="n"/>
      <c r="I47" s="46" t="n">
        <v>0.25</v>
      </c>
      <c r="J47" s="105" t="n">
        <v>0.25</v>
      </c>
      <c r="K47" s="46">
        <f>ROUND(SUM(F47:I47),2)</f>
        <v/>
      </c>
      <c r="L47" s="105">
        <f>ROUND(SUM(F47:I48)+J47,2)</f>
        <v/>
      </c>
    </row>
    <row r="48" ht="26" customHeight="1">
      <c r="A48" s="15" t="inlineStr">
        <is>
          <t>F05-02-2</t>
        </is>
      </c>
      <c r="B48" s="102" t="n"/>
      <c r="C48" s="17" t="n"/>
      <c r="D48" s="32" t="inlineStr">
        <is>
          <t>来源维度查询下推</t>
        </is>
      </c>
      <c r="E48" s="32" t="inlineStr">
        <is>
          <t>sys_id过滤、分区裁剪</t>
        </is>
      </c>
      <c r="F48" s="46" t="n"/>
      <c r="G48" s="46" t="n"/>
      <c r="H48" s="46" t="n">
        <v>0.5</v>
      </c>
      <c r="I48" s="46" t="n">
        <v>0.25</v>
      </c>
      <c r="J48" s="17" t="n"/>
      <c r="K48" s="46">
        <f>ROUND(SUM(F48:I48),2)</f>
        <v/>
      </c>
      <c r="L48" s="17" t="n"/>
    </row>
    <row r="49" ht="26" customHeight="1">
      <c r="A49" s="15" t="inlineStr">
        <is>
          <t>F05-03-1</t>
        </is>
      </c>
      <c r="B49" s="102" t="n"/>
      <c r="C49" s="104" t="inlineStr">
        <is>
          <t>按业务时间检索</t>
        </is>
      </c>
      <c r="D49" s="32" t="inlineStr">
        <is>
          <t>时间维度筛选组件</t>
        </is>
      </c>
      <c r="E49" s="32" t="inlineStr">
        <is>
          <t>创建/修改/业务发生时间范围选择</t>
        </is>
      </c>
      <c r="F49" s="46" t="n"/>
      <c r="G49" s="46" t="n">
        <v>0.75</v>
      </c>
      <c r="H49" s="46" t="n"/>
      <c r="I49" s="46" t="n">
        <v>0.25</v>
      </c>
      <c r="J49" s="105" t="n">
        <v>0.25</v>
      </c>
      <c r="K49" s="46">
        <f>ROUND(SUM(F49:I49),2)</f>
        <v/>
      </c>
      <c r="L49" s="105">
        <f>ROUND(SUM(F49:I50)+J49,2)</f>
        <v/>
      </c>
    </row>
    <row r="50" ht="26" customHeight="1">
      <c r="A50" s="15" t="inlineStr">
        <is>
          <t>F05-03-2</t>
        </is>
      </c>
      <c r="B50" s="102" t="n"/>
      <c r="C50" s="17" t="n"/>
      <c r="D50" s="32" t="inlineStr">
        <is>
          <t>时间分区下推与索引</t>
        </is>
      </c>
      <c r="E50" s="32" t="inlineStr">
        <is>
          <t>分区裁剪、时间索引优化</t>
        </is>
      </c>
      <c r="F50" s="46" t="n"/>
      <c r="G50" s="46" t="n"/>
      <c r="H50" s="46" t="n">
        <v>0.5</v>
      </c>
      <c r="I50" s="46" t="n">
        <v>0.25</v>
      </c>
      <c r="J50" s="17" t="n"/>
      <c r="K50" s="46">
        <f>ROUND(SUM(F50:I50),2)</f>
        <v/>
      </c>
      <c r="L50" s="17" t="n"/>
    </row>
    <row r="51" ht="26" customHeight="1">
      <c r="A51" s="15" t="inlineStr">
        <is>
          <t>F05-04-1</t>
        </is>
      </c>
      <c r="B51" s="102" t="n"/>
      <c r="C51" s="104" t="inlineStr">
        <is>
          <t>检索结果列表展示</t>
        </is>
      </c>
      <c r="D51" s="32" t="inlineStr">
        <is>
          <t>列表展示与分页排序</t>
        </is>
      </c>
      <c r="E51" s="32" t="inlineStr">
        <is>
          <t>关键字段展示、分批加载、虚拟滚动</t>
        </is>
      </c>
      <c r="F51" s="46" t="n"/>
      <c r="G51" s="46" t="n">
        <v>2</v>
      </c>
      <c r="H51" s="46" t="n"/>
      <c r="I51" s="46" t="n">
        <v>0.5</v>
      </c>
      <c r="J51" s="105" t="n">
        <v>0.5</v>
      </c>
      <c r="K51" s="46">
        <f>ROUND(SUM(F51:I51),2)</f>
        <v/>
      </c>
      <c r="L51" s="105">
        <f>ROUND(SUM(F51:I52)+J51,2)</f>
        <v/>
      </c>
    </row>
    <row r="52" ht="26" customHeight="1">
      <c r="A52" s="15" t="inlineStr">
        <is>
          <t>F05-04-2</t>
        </is>
      </c>
      <c r="B52" s="102" t="n"/>
      <c r="C52" s="17" t="n"/>
      <c r="D52" s="32" t="inlineStr">
        <is>
          <t>大批量结果性能</t>
        </is>
      </c>
      <c r="E52" s="32" t="inlineStr">
        <is>
          <t>异步计数、游标分页、缓存</t>
        </is>
      </c>
      <c r="F52" s="46" t="n"/>
      <c r="G52" s="46" t="n">
        <v>0.25</v>
      </c>
      <c r="H52" s="46" t="n">
        <v>0.75</v>
      </c>
      <c r="I52" s="46" t="n">
        <v>0.5</v>
      </c>
      <c r="J52" s="17" t="n"/>
      <c r="K52" s="46">
        <f>ROUND(SUM(F52:I52),2)</f>
        <v/>
      </c>
      <c r="L52" s="17" t="n"/>
    </row>
    <row r="53" ht="26" customHeight="1">
      <c r="A53" s="15" t="inlineStr">
        <is>
          <t>F05-05-1</t>
        </is>
      </c>
      <c r="B53" s="102" t="n"/>
      <c r="C53" s="104" t="inlineStr">
        <is>
          <t>原始文件在线预览</t>
        </is>
      </c>
      <c r="D53" s="32" t="inlineStr">
        <is>
          <t>预览服务</t>
        </is>
      </c>
      <c r="E53" s="32" t="inlineStr">
        <is>
          <t>格式识别、图片/PDF/Office转换</t>
        </is>
      </c>
      <c r="F53" s="46" t="n"/>
      <c r="G53" s="46" t="n"/>
      <c r="H53" s="46" t="n">
        <v>1.5</v>
      </c>
      <c r="I53" s="46" t="n">
        <v>0.5</v>
      </c>
      <c r="J53" s="105" t="n">
        <v>0.5</v>
      </c>
      <c r="K53" s="46">
        <f>ROUND(SUM(F53:I53),2)</f>
        <v/>
      </c>
      <c r="L53" s="105">
        <f>ROUND(SUM(F53:I55)+J53,2)</f>
        <v/>
      </c>
    </row>
    <row r="54" ht="26" customHeight="1">
      <c r="A54" s="15" t="inlineStr">
        <is>
          <t>F05-05-2</t>
        </is>
      </c>
      <c r="B54" s="102" t="n"/>
      <c r="C54" s="17" t="n"/>
      <c r="D54" s="32" t="inlineStr">
        <is>
          <t>SAS直连与流式加载</t>
        </is>
      </c>
      <c r="E54" s="32" t="inlineStr">
        <is>
          <t>临时SAS链接、流式传输、权限校验</t>
        </is>
      </c>
      <c r="F54" s="46" t="n"/>
      <c r="G54" s="46" t="n">
        <v>0.5</v>
      </c>
      <c r="H54" s="46" t="n">
        <v>1</v>
      </c>
      <c r="I54" s="46" t="n">
        <v>0.5</v>
      </c>
      <c r="J54" s="17" t="n"/>
      <c r="K54" s="46">
        <f>ROUND(SUM(F54:I54),2)</f>
        <v/>
      </c>
      <c r="L54" s="17" t="n"/>
    </row>
    <row r="55" ht="26" customHeight="1">
      <c r="A55" s="15" t="inlineStr">
        <is>
          <t>F05-05-3</t>
        </is>
      </c>
      <c r="B55" s="103" t="n"/>
      <c r="C55" s="17" t="n"/>
      <c r="D55" s="32" t="inlineStr">
        <is>
          <t>前端预览组件</t>
        </is>
      </c>
      <c r="E55" s="32" t="inlineStr">
        <is>
          <t>格式适配、缩放、失败降级下载</t>
        </is>
      </c>
      <c r="F55" s="46" t="n"/>
      <c r="G55" s="46" t="n">
        <v>1.5</v>
      </c>
      <c r="H55" s="46" t="n"/>
      <c r="I55" s="46" t="n">
        <v>0.25</v>
      </c>
      <c r="J55" s="17" t="n"/>
      <c r="K55" s="46">
        <f>ROUND(SUM(F55:I55),2)</f>
        <v/>
      </c>
      <c r="L55" s="17" t="n"/>
    </row>
    <row r="56" ht="26" customHeight="1">
      <c r="A56" s="15" t="inlineStr">
        <is>
          <t>F06-01-1</t>
        </is>
      </c>
      <c r="B56" s="111" t="inlineStr">
        <is>
          <t>模块6·合规管控、审计追踪与合规报表</t>
        </is>
      </c>
      <c r="C56" s="100" t="inlineStr">
        <is>
          <t>归档操作日志记录</t>
        </is>
      </c>
      <c r="D56" s="32" t="inlineStr">
        <is>
          <t>埋点规范与日志模型</t>
        </is>
      </c>
      <c r="E56" s="32" t="inlineStr">
        <is>
          <t>操作对象/用户/时间/结果/IP模型定义</t>
        </is>
      </c>
      <c r="F56" s="46" t="n">
        <v>0.25</v>
      </c>
      <c r="G56" s="46" t="n"/>
      <c r="H56" s="46" t="n">
        <v>0.5</v>
      </c>
      <c r="I56" s="46" t="n">
        <v>0.25</v>
      </c>
      <c r="J56" s="89" t="n">
        <v>0.5</v>
      </c>
      <c r="K56" s="46">
        <f>ROUND(SUM(F56:I56),2)</f>
        <v/>
      </c>
      <c r="L56" s="89">
        <f>ROUND(SUM(F56:I58)+J56,2)</f>
        <v/>
      </c>
    </row>
    <row r="57" ht="26" customHeight="1">
      <c r="A57" s="15" t="inlineStr">
        <is>
          <t>F06-01-2</t>
        </is>
      </c>
      <c r="B57" s="102" t="n"/>
      <c r="C57" s="17" t="n"/>
      <c r="D57" s="32" t="inlineStr">
        <is>
          <t>操作拦截与落库</t>
        </is>
      </c>
      <c r="E57" s="32" t="inlineStr">
        <is>
          <t>归档/导入/上传统一拦截器、异步写入</t>
        </is>
      </c>
      <c r="F57" s="46" t="n"/>
      <c r="G57" s="46" t="n"/>
      <c r="H57" s="46" t="n">
        <v>1</v>
      </c>
      <c r="I57" s="46" t="n">
        <v>0.5</v>
      </c>
      <c r="J57" s="17" t="n"/>
      <c r="K57" s="46">
        <f>ROUND(SUM(F57:I57),2)</f>
        <v/>
      </c>
      <c r="L57" s="17" t="n"/>
    </row>
    <row r="58" ht="26" customHeight="1">
      <c r="A58" s="15" t="inlineStr">
        <is>
          <t>F06-01-3</t>
        </is>
      </c>
      <c r="B58" s="102" t="n"/>
      <c r="C58" s="17" t="n"/>
      <c r="D58" s="32" t="inlineStr">
        <is>
          <t>审计查询界面</t>
        </is>
      </c>
      <c r="E58" s="32" t="inlineStr">
        <is>
          <t>多维筛选与导出（覆盖归档/查询/导出三类日志）</t>
        </is>
      </c>
      <c r="F58" s="46" t="n"/>
      <c r="G58" s="46" t="n">
        <v>1.5</v>
      </c>
      <c r="H58" s="46" t="n">
        <v>0.25</v>
      </c>
      <c r="I58" s="46" t="n">
        <v>0.5</v>
      </c>
      <c r="J58" s="17" t="n"/>
      <c r="K58" s="46">
        <f>ROUND(SUM(F58:I58),2)</f>
        <v/>
      </c>
      <c r="L58" s="17" t="n"/>
    </row>
    <row r="59" ht="26" customHeight="1">
      <c r="A59" s="15" t="inlineStr">
        <is>
          <t>F06-02-1</t>
        </is>
      </c>
      <c r="B59" s="102" t="n"/>
      <c r="C59" s="100" t="inlineStr">
        <is>
          <t>查询操作日志记录</t>
        </is>
      </c>
      <c r="D59" s="32" t="inlineStr">
        <is>
          <t>查询/预览行为埋点</t>
        </is>
      </c>
      <c r="E59" s="32" t="inlineStr">
        <is>
          <t>查询条件脱敏记录、预览行为记录</t>
        </is>
      </c>
      <c r="F59" s="46" t="n"/>
      <c r="G59" s="46" t="n"/>
      <c r="H59" s="46" t="n">
        <v>0.75</v>
      </c>
      <c r="I59" s="46" t="n">
        <v>0.5</v>
      </c>
      <c r="J59" s="89" t="n">
        <v>0.25</v>
      </c>
      <c r="K59" s="46">
        <f>ROUND(SUM(F59:I59),2)</f>
        <v/>
      </c>
      <c r="L59" s="89">
        <f>ROUND(SUM(F59:I60)+J59,2)</f>
        <v/>
      </c>
    </row>
    <row r="60" ht="26" customHeight="1">
      <c r="A60" s="15" t="inlineStr">
        <is>
          <t>F06-02-2</t>
        </is>
      </c>
      <c r="B60" s="102" t="n"/>
      <c r="C60" s="17" t="n"/>
      <c r="D60" s="32" t="inlineStr">
        <is>
          <t>异步批量写入</t>
        </is>
      </c>
      <c r="E60" s="32" t="inlineStr">
        <is>
          <t>缓冲批量写入、不阻塞查询主链路</t>
        </is>
      </c>
      <c r="F60" s="46" t="n"/>
      <c r="G60" s="46" t="n"/>
      <c r="H60" s="46" t="n">
        <v>0.5</v>
      </c>
      <c r="I60" s="46" t="n">
        <v>0.25</v>
      </c>
      <c r="J60" s="17" t="n"/>
      <c r="K60" s="46">
        <f>ROUND(SUM(F60:I60),2)</f>
        <v/>
      </c>
      <c r="L60" s="17" t="n"/>
    </row>
    <row r="61" ht="26" customHeight="1">
      <c r="A61" s="15" t="inlineStr">
        <is>
          <t>F06-03-1</t>
        </is>
      </c>
      <c r="B61" s="102" t="n"/>
      <c r="C61" s="100" t="inlineStr">
        <is>
          <t>导出操作日志记录</t>
        </is>
      </c>
      <c r="D61" s="32" t="inlineStr">
        <is>
          <t>导出行为审计</t>
        </is>
      </c>
      <c r="E61" s="32" t="inlineStr">
        <is>
          <t>导出范围/条数/导出人/IP/下载链接追踪</t>
        </is>
      </c>
      <c r="F61" s="46" t="n"/>
      <c r="G61" s="46" t="n"/>
      <c r="H61" s="46" t="n">
        <v>0.75</v>
      </c>
      <c r="I61" s="46" t="n">
        <v>0.5</v>
      </c>
      <c r="J61" s="89" t="n">
        <v>0.25</v>
      </c>
      <c r="K61" s="46">
        <f>ROUND(SUM(F61:I61),2)</f>
        <v/>
      </c>
      <c r="L61" s="89">
        <f>ROUND(SUM(F61:I62)+J61,2)</f>
        <v/>
      </c>
    </row>
    <row r="62" ht="26" customHeight="1">
      <c r="A62" s="15" t="inlineStr">
        <is>
          <t>F06-03-2</t>
        </is>
      </c>
      <c r="B62" s="103" t="n"/>
      <c r="C62" s="17" t="n"/>
      <c r="D62" s="32" t="inlineStr">
        <is>
          <t>大批量导出告警</t>
        </is>
      </c>
      <c r="E62" s="32" t="inlineStr">
        <is>
          <t>阈值告警、审批联动</t>
        </is>
      </c>
      <c r="F62" s="46" t="n"/>
      <c r="G62" s="46" t="n">
        <v>0.5</v>
      </c>
      <c r="H62" s="46" t="n">
        <v>0.25</v>
      </c>
      <c r="I62" s="46" t="n">
        <v>0.25</v>
      </c>
      <c r="J62" s="17" t="n"/>
      <c r="K62" s="46">
        <f>ROUND(SUM(F62:I62),2)</f>
        <v/>
      </c>
      <c r="L62" s="17" t="n"/>
    </row>
    <row r="63" ht="26" customHeight="1">
      <c r="A63" s="15" t="inlineStr">
        <is>
          <t>F08-01-1</t>
        </is>
      </c>
      <c r="B63" s="112" t="inlineStr">
        <is>
          <t>模块8·系统全局治理、运维与监控</t>
        </is>
      </c>
      <c r="C63" s="101" t="inlineStr">
        <is>
          <t>基础角色权限配置</t>
        </is>
      </c>
      <c r="D63" s="32" t="inlineStr">
        <is>
          <t>RBAC模型与权限矩阵</t>
        </is>
      </c>
      <c r="E63" s="32" t="inlineStr">
        <is>
          <t>角色/菜单/数据范围/记录类型/操作权限定义</t>
        </is>
      </c>
      <c r="F63" s="46" t="n">
        <v>1</v>
      </c>
      <c r="G63" s="46" t="n"/>
      <c r="H63" s="46" t="n">
        <v>0.5</v>
      </c>
      <c r="I63" s="46" t="n">
        <v>0.25</v>
      </c>
      <c r="J63" s="92" t="n">
        <v>1</v>
      </c>
      <c r="K63" s="46">
        <f>ROUND(SUM(F63:I63),2)</f>
        <v/>
      </c>
      <c r="L63" s="92">
        <f>ROUND(SUM(F63:I65)+J63,2)</f>
        <v/>
      </c>
    </row>
    <row r="64" ht="26" customHeight="1">
      <c r="A64" s="15" t="inlineStr">
        <is>
          <t>F08-01-2</t>
        </is>
      </c>
      <c r="B64" s="102" t="n"/>
      <c r="C64" s="17" t="n"/>
      <c r="D64" s="32" t="inlineStr">
        <is>
          <t>角色管理界面与API</t>
        </is>
      </c>
      <c r="E64" s="32" t="inlineStr">
        <is>
          <t>角色CRUD、权限分配界面与接口</t>
        </is>
      </c>
      <c r="F64" s="46" t="n"/>
      <c r="G64" s="46" t="n">
        <v>2</v>
      </c>
      <c r="H64" s="46" t="n">
        <v>0.5</v>
      </c>
      <c r="I64" s="46" t="n">
        <v>0.5</v>
      </c>
      <c r="J64" s="17" t="n"/>
      <c r="K64" s="46">
        <f>ROUND(SUM(F64:I64),2)</f>
        <v/>
      </c>
      <c r="L64" s="17" t="n"/>
    </row>
    <row r="65" ht="26" customHeight="1">
      <c r="A65" s="15" t="inlineStr">
        <is>
          <t>F08-01-3</t>
        </is>
      </c>
      <c r="B65" s="102" t="n"/>
      <c r="C65" s="17" t="n"/>
      <c r="D65" s="32" t="inlineStr">
        <is>
          <t>权限校验与UC授权映射</t>
        </is>
      </c>
      <c r="E65" s="32" t="inlineStr">
        <is>
          <t>菜单/接口级校验中间件、UC权限同步</t>
        </is>
      </c>
      <c r="F65" s="46" t="n"/>
      <c r="G65" s="46" t="n"/>
      <c r="H65" s="46" t="n">
        <v>1</v>
      </c>
      <c r="I65" s="46" t="n">
        <v>0.75</v>
      </c>
      <c r="J65" s="17" t="n"/>
      <c r="K65" s="46">
        <f>ROUND(SUM(F65:I65),2)</f>
        <v/>
      </c>
      <c r="L65" s="17" t="n"/>
    </row>
    <row r="66" ht="26" customHeight="1">
      <c r="A66" s="15" t="inlineStr">
        <is>
          <t>F08-02-1</t>
        </is>
      </c>
      <c r="B66" s="102" t="n"/>
      <c r="C66" s="101" t="inlineStr">
        <is>
          <t>用户账号管理</t>
        </is>
      </c>
      <c r="D66" s="32" t="inlineStr">
        <is>
          <t>账号CRUD与生命周期</t>
        </is>
      </c>
      <c r="E66" s="32" t="inlineStr">
        <is>
          <t>创建/启用禁用/密码重置/有效期</t>
        </is>
      </c>
      <c r="F66" s="46" t="n">
        <v>0.25</v>
      </c>
      <c r="G66" s="46" t="n">
        <v>1</v>
      </c>
      <c r="H66" s="46" t="n">
        <v>0.75</v>
      </c>
      <c r="I66" s="46" t="n">
        <v>0.5</v>
      </c>
      <c r="J66" s="92" t="n">
        <v>0.5</v>
      </c>
      <c r="K66" s="46">
        <f>ROUND(SUM(F66:I66),2)</f>
        <v/>
      </c>
      <c r="L66" s="92">
        <f>ROUND(SUM(F66:I67)+J66,2)</f>
        <v/>
      </c>
    </row>
    <row r="67" ht="26" customHeight="1">
      <c r="A67" s="15" t="inlineStr">
        <is>
          <t>F08-02-2</t>
        </is>
      </c>
      <c r="B67" s="102" t="n"/>
      <c r="C67" s="17" t="n"/>
      <c r="D67" s="32" t="inlineStr">
        <is>
          <t>账号与角色绑定</t>
        </is>
      </c>
      <c r="E67" s="32" t="inlineStr">
        <is>
          <t>分配、批量操作、人员交接</t>
        </is>
      </c>
      <c r="F67" s="46" t="n"/>
      <c r="G67" s="46" t="n">
        <v>0.5</v>
      </c>
      <c r="H67" s="46" t="n">
        <v>0.25</v>
      </c>
      <c r="I67" s="46" t="n">
        <v>0.25</v>
      </c>
      <c r="J67" s="17" t="n"/>
      <c r="K67" s="46">
        <f>ROUND(SUM(F67:I67),2)</f>
        <v/>
      </c>
      <c r="L67" s="17" t="n"/>
    </row>
    <row r="68" ht="26" customHeight="1">
      <c r="A68" s="15" t="inlineStr">
        <is>
          <t>F08-03-1</t>
        </is>
      </c>
      <c r="B68" s="102" t="n"/>
      <c r="C68" s="101" t="inlineStr">
        <is>
          <t>企业SSO集成</t>
        </is>
      </c>
      <c r="D68" s="32" t="inlineStr">
        <is>
          <t>Entra ID对接配置【原生】</t>
        </is>
      </c>
      <c r="E68" s="32" t="inlineStr">
        <is>
          <t>应用注册/回调/claims为Entra控制台配置，开发仅环境参数化</t>
        </is>
      </c>
      <c r="F68" s="46" t="n">
        <v>0.25</v>
      </c>
      <c r="G68" s="46" t="n">
        <v>0.5</v>
      </c>
      <c r="H68" s="46" t="n">
        <v>0.5</v>
      </c>
      <c r="I68" s="46" t="n">
        <v>0.5</v>
      </c>
      <c r="J68" s="92" t="n">
        <v>0.5</v>
      </c>
      <c r="K68" s="46">
        <f>ROUND(SUM(F68:I68),2)</f>
        <v/>
      </c>
      <c r="L68" s="92">
        <f>ROUND(SUM(F68:I70)+J68,2)</f>
        <v/>
      </c>
    </row>
    <row r="69" ht="26" customHeight="1">
      <c r="A69" s="15" t="inlineStr">
        <is>
          <t>F08-03-2</t>
        </is>
      </c>
      <c r="B69" s="102" t="n"/>
      <c r="C69" s="17" t="n"/>
      <c r="D69" s="32" t="inlineStr">
        <is>
          <t>SSO登录链路【中间件】</t>
        </is>
      </c>
      <c r="E69" s="32" t="inlineStr">
        <is>
          <t>MSAL/OIDC标准库承载认证流，自研仅登录页/会话与定制逻辑</t>
        </is>
      </c>
      <c r="F69" s="46" t="n"/>
      <c r="G69" s="46" t="n">
        <v>1.25</v>
      </c>
      <c r="H69" s="46" t="n">
        <v>0.5</v>
      </c>
      <c r="I69" s="46" t="n">
        <v>0.75</v>
      </c>
      <c r="J69" s="17" t="n"/>
      <c r="K69" s="46">
        <f>ROUND(SUM(F69:I69),2)</f>
        <v/>
      </c>
      <c r="L69" s="17" t="n"/>
    </row>
    <row r="70" ht="26" customHeight="1">
      <c r="A70" s="15" t="inlineStr">
        <is>
          <t>F08-03-3</t>
        </is>
      </c>
      <c r="B70" s="102" t="n"/>
      <c r="C70" s="17" t="n"/>
      <c r="D70" s="32" t="inlineStr">
        <is>
          <t>认证异常场景处理</t>
        </is>
      </c>
      <c r="E70" s="32" t="inlineStr">
        <is>
          <t>认证失败、账号锁定、多账号冲突</t>
        </is>
      </c>
      <c r="F70" s="46" t="n"/>
      <c r="G70" s="46" t="n">
        <v>0.5</v>
      </c>
      <c r="H70" s="46" t="n"/>
      <c r="I70" s="46" t="n">
        <v>0.5</v>
      </c>
      <c r="J70" s="17" t="n"/>
      <c r="K70" s="46">
        <f>ROUND(SUM(F70:I70),2)</f>
        <v/>
      </c>
      <c r="L70" s="17" t="n"/>
    </row>
    <row r="71" ht="26" customHeight="1">
      <c r="A71" s="15" t="inlineStr">
        <is>
          <t>F08-04-1</t>
        </is>
      </c>
      <c r="B71" s="102" t="n"/>
      <c r="C71" s="101" t="inlineStr">
        <is>
          <t>用户身份自动识别与关联</t>
        </is>
      </c>
      <c r="D71" s="32" t="inlineStr">
        <is>
          <t>身份映射规则</t>
        </is>
      </c>
      <c r="E71" s="32" t="inlineStr">
        <is>
          <t>企业账号↔RIMS用户映射、自动建号规则</t>
        </is>
      </c>
      <c r="F71" s="46" t="n">
        <v>0.5</v>
      </c>
      <c r="G71" s="46" t="n"/>
      <c r="H71" s="46" t="n">
        <v>0.5</v>
      </c>
      <c r="I71" s="46" t="n">
        <v>0.25</v>
      </c>
      <c r="J71" s="92" t="n">
        <v>0.25</v>
      </c>
      <c r="K71" s="46">
        <f>ROUND(SUM(F71:I71),2)</f>
        <v/>
      </c>
      <c r="L71" s="92">
        <f>ROUND(SUM(F71:I72)+J71,2)</f>
        <v/>
      </c>
    </row>
    <row r="72" ht="26" customHeight="1">
      <c r="A72" s="15" t="inlineStr">
        <is>
          <t>F08-04-2</t>
        </is>
      </c>
      <c r="B72" s="102" t="n"/>
      <c r="C72" s="17" t="n"/>
      <c r="D72" s="32" t="inlineStr">
        <is>
          <t>首登自动关联与角色赋予</t>
        </is>
      </c>
      <c r="E72" s="32" t="inlineStr">
        <is>
          <t>默认角色、待分配队列</t>
        </is>
      </c>
      <c r="F72" s="46" t="n"/>
      <c r="G72" s="46" t="n">
        <v>0.25</v>
      </c>
      <c r="H72" s="46" t="n">
        <v>0.75</v>
      </c>
      <c r="I72" s="46" t="n">
        <v>0.5</v>
      </c>
      <c r="J72" s="17" t="n"/>
      <c r="K72" s="46">
        <f>ROUND(SUM(F72:I72),2)</f>
        <v/>
      </c>
      <c r="L72" s="17" t="n"/>
    </row>
    <row r="73" ht="26" customHeight="1">
      <c r="A73" s="15" t="inlineStr">
        <is>
          <t>F08-05-1</t>
        </is>
      </c>
      <c r="B73" s="102" t="n"/>
      <c r="C73" s="101" t="inlineStr">
        <is>
          <t>登录状态与异常访问控制</t>
        </is>
      </c>
      <c r="D73" s="32" t="inlineStr">
        <is>
          <t>会话与超时策略</t>
        </is>
      </c>
      <c r="E73" s="32" t="inlineStr">
        <is>
          <t>超时控制、登出、单点登出</t>
        </is>
      </c>
      <c r="F73" s="46" t="n">
        <v>0.25</v>
      </c>
      <c r="G73" s="46" t="n">
        <v>1</v>
      </c>
      <c r="H73" s="46" t="n">
        <v>0.25</v>
      </c>
      <c r="I73" s="46" t="n">
        <v>0.5</v>
      </c>
      <c r="J73" s="92" t="n">
        <v>0.25</v>
      </c>
      <c r="K73" s="46">
        <f>ROUND(SUM(F73:I73),2)</f>
        <v/>
      </c>
      <c r="L73" s="92">
        <f>ROUND(SUM(F73:I74)+J73,2)</f>
        <v/>
      </c>
    </row>
    <row r="74" ht="26" customHeight="1">
      <c r="A74" s="15" t="inlineStr">
        <is>
          <t>F08-05-2</t>
        </is>
      </c>
      <c r="B74" s="103" t="n"/>
      <c r="C74" s="17" t="n"/>
      <c r="D74" s="32" t="inlineStr">
        <is>
          <t>异常访问控制</t>
        </is>
      </c>
      <c r="E74" s="32" t="inlineStr">
        <is>
          <t>账号锁定、认证失效限制访问、IP策略</t>
        </is>
      </c>
      <c r="F74" s="46" t="n"/>
      <c r="G74" s="46" t="n"/>
      <c r="H74" s="46" t="n">
        <v>0.75</v>
      </c>
      <c r="I74" s="46" t="n">
        <v>0.5</v>
      </c>
      <c r="J74" s="17" t="n"/>
      <c r="K74" s="46">
        <f>ROUND(SUM(F74:I74),2)</f>
        <v/>
      </c>
      <c r="L74" s="17" t="n"/>
    </row>
    <row r="75" ht="26" customHeight="1">
      <c r="A75" s="15" t="inlineStr">
        <is>
          <t>N1-1</t>
        </is>
      </c>
      <c r="B75" s="113" t="inlineStr">
        <is>
          <t>非功能与工程支撑</t>
        </is>
      </c>
      <c r="C75" s="99" t="inlineStr">
        <is>
          <t>工程初始化与开发基座</t>
        </is>
      </c>
      <c r="D75" s="32" t="inlineStr">
        <is>
          <t>项目初始化</t>
        </is>
      </c>
      <c r="E75" s="32" t="inlineStr">
        <is>
          <t>代码仓库/分支策略/开发环境统一/AI工具账号开通</t>
        </is>
      </c>
      <c r="F75" s="46" t="n"/>
      <c r="G75" s="46" t="n">
        <v>1</v>
      </c>
      <c r="H75" s="46" t="n">
        <v>0.25</v>
      </c>
      <c r="I75" s="46" t="n">
        <v>0.25</v>
      </c>
      <c r="J75" s="86" t="n">
        <v>0.5</v>
      </c>
      <c r="K75" s="46">
        <f>ROUND(SUM(F75:I75),2)</f>
        <v/>
      </c>
      <c r="L75" s="86">
        <f>ROUND(SUM(F75:I79)+J75,2)</f>
        <v/>
      </c>
    </row>
    <row r="76" ht="26" customHeight="1">
      <c r="A76" s="15" t="inlineStr">
        <is>
          <t>N1-2</t>
        </is>
      </c>
      <c r="B76" s="102" t="n"/>
      <c r="C76" s="17" t="n"/>
      <c r="D76" s="32" t="inlineStr">
        <is>
          <t>前端工程初始化</t>
        </is>
      </c>
      <c r="E76" s="32" t="inlineStr">
        <is>
          <t>React骨架/路由/布局/组件库/状态管理/构建链</t>
        </is>
      </c>
      <c r="F76" s="46" t="n"/>
      <c r="G76" s="46" t="n">
        <v>1.5</v>
      </c>
      <c r="H76" s="46" t="n"/>
      <c r="I76" s="46" t="n">
        <v>0.25</v>
      </c>
      <c r="J76" s="17" t="n"/>
      <c r="K76" s="46">
        <f>ROUND(SUM(F76:I76),2)</f>
        <v/>
      </c>
      <c r="L76" s="17" t="n"/>
    </row>
    <row r="77" ht="26" customHeight="1">
      <c r="A77" s="15" t="inlineStr">
        <is>
          <t>N1-3</t>
        </is>
      </c>
      <c r="B77" s="102" t="n"/>
      <c r="C77" s="17" t="n"/>
      <c r="D77" s="32" t="inlineStr">
        <is>
          <t>后端工程初始化</t>
        </is>
      </c>
      <c r="E77" s="32" t="inlineStr">
        <is>
          <t>.NET Clean Architecture/EF Core/Docker Compose本地环境</t>
        </is>
      </c>
      <c r="F77" s="46" t="n"/>
      <c r="G77" s="46" t="n"/>
      <c r="H77" s="46" t="n">
        <v>1.5</v>
      </c>
      <c r="I77" s="46" t="n">
        <v>0.25</v>
      </c>
      <c r="J77" s="17" t="n"/>
      <c r="K77" s="46">
        <f>ROUND(SUM(F77:I77),2)</f>
        <v/>
      </c>
      <c r="L77" s="17" t="n"/>
    </row>
    <row r="78" ht="26" customHeight="1">
      <c r="A78" s="15" t="inlineStr">
        <is>
          <t>N1-4</t>
        </is>
      </c>
      <c r="B78" s="102" t="n"/>
      <c r="C78" s="17" t="n"/>
      <c r="D78" s="32" t="inlineStr">
        <is>
          <t>AI开发工具链与编码规范</t>
        </is>
      </c>
      <c r="E78" s="32" t="inlineStr">
        <is>
          <t>提示词模板库/人机协作规约/ADR规范</t>
        </is>
      </c>
      <c r="F78" s="46" t="n"/>
      <c r="G78" s="46" t="n">
        <v>1</v>
      </c>
      <c r="H78" s="46" t="n">
        <v>0.25</v>
      </c>
      <c r="I78" s="46" t="n"/>
      <c r="J78" s="17" t="n"/>
      <c r="K78" s="46">
        <f>ROUND(SUM(F78:I78),2)</f>
        <v/>
      </c>
      <c r="L78" s="17" t="n"/>
    </row>
    <row r="79" ht="26" customHeight="1">
      <c r="A79" s="15" t="inlineStr">
        <is>
          <t>N1-5</t>
        </is>
      </c>
      <c r="B79" s="102" t="n"/>
      <c r="C79" s="17" t="n"/>
      <c r="D79" s="32" t="inlineStr">
        <is>
          <t>四道安全门禁CI/CD</t>
        </is>
      </c>
      <c r="E79" s="32" t="inlineStr">
        <is>
          <t>构建/镜像/SAST·依赖·密钥扫描/越权用例门禁，流水线落地与拦截演示</t>
        </is>
      </c>
      <c r="F79" s="46" t="n"/>
      <c r="G79" s="46" t="n">
        <v>3</v>
      </c>
      <c r="H79" s="46" t="n">
        <v>0.5</v>
      </c>
      <c r="I79" s="46" t="n">
        <v>0.5</v>
      </c>
      <c r="J79" s="17" t="n"/>
      <c r="K79" s="46">
        <f>ROUND(SUM(F79:I79),2)</f>
        <v/>
      </c>
      <c r="L79" s="17" t="n"/>
    </row>
    <row r="80" ht="26" customHeight="1">
      <c r="A80" s="15" t="inlineStr">
        <is>
          <t>N2-1</t>
        </is>
      </c>
      <c r="B80" s="102" t="n"/>
      <c r="C80" s="99" t="inlineStr">
        <is>
          <t>代码质量与静态扫描治理</t>
        </is>
      </c>
      <c r="D80" s="32" t="inlineStr">
        <is>
          <t>前端ESLint/Prettier规约</t>
        </is>
      </c>
      <c r="E80" s="32" t="inlineStr">
        <is>
          <t>规则集接入CI、存量告警清零、格式统一</t>
        </is>
      </c>
      <c r="F80" s="46" t="n"/>
      <c r="G80" s="46" t="n">
        <v>1.5</v>
      </c>
      <c r="H80" s="46" t="n"/>
      <c r="I80" s="46" t="n"/>
      <c r="J80" s="86" t="n">
        <v>0.25</v>
      </c>
      <c r="K80" s="46">
        <f>ROUND(SUM(F80:I80),2)</f>
        <v/>
      </c>
      <c r="L80" s="86">
        <f>ROUND(SUM(F80:I84)+J80,2)</f>
        <v/>
      </c>
    </row>
    <row r="81" ht="26" customHeight="1">
      <c r="A81" s="15" t="inlineStr">
        <is>
          <t>N2-2</t>
        </is>
      </c>
      <c r="B81" s="102" t="n"/>
      <c r="C81" s="17" t="n"/>
      <c r="D81" s="32" t="inlineStr">
        <is>
          <t>后端SonarLint规约</t>
        </is>
      </c>
      <c r="E81" s="32" t="inlineStr">
        <is>
          <t>代码异味/重复块/复杂度阈值治理清零</t>
        </is>
      </c>
      <c r="F81" s="46" t="n"/>
      <c r="G81" s="46" t="n"/>
      <c r="H81" s="46" t="n">
        <v>1.5</v>
      </c>
      <c r="I81" s="46" t="n"/>
      <c r="J81" s="17" t="n"/>
      <c r="K81" s="46">
        <f>ROUND(SUM(F81:I81),2)</f>
        <v/>
      </c>
      <c r="L81" s="17" t="n"/>
    </row>
    <row r="82" ht="26" customHeight="1">
      <c r="A82" s="15" t="inlineStr">
        <is>
          <t>N2-3</t>
        </is>
      </c>
      <c r="B82" s="102" t="n"/>
      <c r="C82" s="17" t="n"/>
      <c r="D82" s="32" t="inlineStr">
        <is>
          <t>SAST安全告警修复</t>
        </is>
      </c>
      <c r="E82" s="32" t="inlineStr">
        <is>
          <t>硬编码密钥/注入/越权路径等静态安全缺陷修复</t>
        </is>
      </c>
      <c r="F82" s="46" t="n"/>
      <c r="G82" s="46" t="n">
        <v>1</v>
      </c>
      <c r="H82" s="46" t="n">
        <v>1</v>
      </c>
      <c r="I82" s="46" t="n">
        <v>0.25</v>
      </c>
      <c r="J82" s="17" t="n"/>
      <c r="K82" s="46">
        <f>ROUND(SUM(F82:I82),2)</f>
        <v/>
      </c>
      <c r="L82" s="17" t="n"/>
    </row>
    <row r="83" ht="26" customHeight="1">
      <c r="A83" s="15" t="inlineStr">
        <is>
          <t>N2-4</t>
        </is>
      </c>
      <c r="B83" s="102" t="n"/>
      <c r="C83" s="17" t="n"/>
      <c r="D83" s="32" t="inlineStr">
        <is>
          <t>依赖漏洞治理（SCA）</t>
        </is>
      </c>
      <c r="E83" s="32" t="inlineStr">
        <is>
          <t>依赖版本锁定、漏洞升级、SBOM产出</t>
        </is>
      </c>
      <c r="F83" s="46" t="n"/>
      <c r="G83" s="46" t="n">
        <v>0.5</v>
      </c>
      <c r="H83" s="46" t="n">
        <v>0.5</v>
      </c>
      <c r="I83" s="46" t="n"/>
      <c r="J83" s="17" t="n"/>
      <c r="K83" s="46">
        <f>ROUND(SUM(F83:I83),2)</f>
        <v/>
      </c>
      <c r="L83" s="17" t="n"/>
    </row>
    <row r="84" ht="26" customHeight="1">
      <c r="A84" s="15" t="inlineStr">
        <is>
          <t>N2-5</t>
        </is>
      </c>
      <c r="B84" s="102" t="n"/>
      <c r="C84" s="17" t="n"/>
      <c r="D84" s="32" t="inlineStr">
        <is>
          <t>技术债偿还与外部评审落实</t>
        </is>
      </c>
      <c r="E84" s="32" t="inlineStr">
        <is>
          <t>每周固定还债窗口、关键模块重构、评审意见闭环</t>
        </is>
      </c>
      <c r="F84" s="46" t="n"/>
      <c r="G84" s="46" t="n">
        <v>1</v>
      </c>
      <c r="H84" s="46" t="n">
        <v>1</v>
      </c>
      <c r="I84" s="46" t="n">
        <v>0.25</v>
      </c>
      <c r="J84" s="17" t="n"/>
      <c r="K84" s="46">
        <f>ROUND(SUM(F84:I84),2)</f>
        <v/>
      </c>
      <c r="L84" s="17" t="n"/>
    </row>
    <row r="85" ht="26" customHeight="1">
      <c r="A85" s="15" t="inlineStr">
        <is>
          <t>N3-1</t>
        </is>
      </c>
      <c r="B85" s="102" t="n"/>
      <c r="C85" s="99" t="inlineStr">
        <is>
          <t>全局非功能实现与优化</t>
        </is>
      </c>
      <c r="D85" s="32" t="inlineStr">
        <is>
          <t>前端性能优化</t>
        </is>
      </c>
      <c r="E85" s="32" t="inlineStr">
        <is>
          <t>懒加载/虚拟滚动/缓存/首屏指标（对照NFR基线）</t>
        </is>
      </c>
      <c r="F85" s="46" t="n"/>
      <c r="G85" s="46" t="n">
        <v>1.5</v>
      </c>
      <c r="H85" s="46" t="n"/>
      <c r="I85" s="46" t="n">
        <v>0.5</v>
      </c>
      <c r="J85" s="86" t="n"/>
      <c r="K85" s="46">
        <f>ROUND(SUM(F85:I85),2)</f>
        <v/>
      </c>
      <c r="L85" s="86">
        <f>ROUND(SUM(F85:I89)+J85,2)</f>
        <v/>
      </c>
    </row>
    <row r="86" ht="26" customHeight="1">
      <c r="A86" s="15" t="inlineStr">
        <is>
          <t>N3-2</t>
        </is>
      </c>
      <c r="B86" s="102" t="n"/>
      <c r="C86" s="17" t="n"/>
      <c r="D86" s="32" t="inlineStr">
        <is>
          <t>查询与数据性能</t>
        </is>
      </c>
      <c r="E86" s="32" t="inlineStr">
        <is>
          <t>分区裁剪/Z-Order/Compaction/小文件治理</t>
        </is>
      </c>
      <c r="F86" s="46" t="n"/>
      <c r="G86" s="46" t="n"/>
      <c r="H86" s="46" t="n">
        <v>1.5</v>
      </c>
      <c r="I86" s="46" t="n">
        <v>0.5</v>
      </c>
      <c r="J86" s="17" t="n"/>
      <c r="K86" s="46">
        <f>ROUND(SUM(F86:I86),2)</f>
        <v/>
      </c>
      <c r="L86" s="17" t="n"/>
    </row>
    <row r="87" ht="26" customHeight="1">
      <c r="A87" s="15" t="inlineStr">
        <is>
          <t>N3-3</t>
        </is>
      </c>
      <c r="B87" s="102" t="n"/>
      <c r="C87" s="17" t="n"/>
      <c r="D87" s="32" t="inlineStr">
        <is>
          <t>统一鉴权与数据掩码中间件</t>
        </is>
      </c>
      <c r="E87" s="32" t="inlineStr">
        <is>
          <t>菜单/API/行级三层校验、掩码旁路防护</t>
        </is>
      </c>
      <c r="F87" s="46" t="n">
        <v>0.25</v>
      </c>
      <c r="G87" s="46" t="n">
        <v>1</v>
      </c>
      <c r="H87" s="46" t="n">
        <v>1</v>
      </c>
      <c r="I87" s="46" t="n">
        <v>0.75</v>
      </c>
      <c r="J87" s="17" t="n"/>
      <c r="K87" s="46">
        <f>ROUND(SUM(F87:I87),2)</f>
        <v/>
      </c>
      <c r="L87" s="17" t="n"/>
    </row>
    <row r="88" ht="26" customHeight="1">
      <c r="A88" s="15" t="inlineStr">
        <is>
          <t>N3-4</t>
        </is>
      </c>
      <c r="B88" s="102" t="n"/>
      <c r="C88" s="17" t="n"/>
      <c r="D88" s="32" t="inlineStr">
        <is>
          <t>可观测性（日志/监控/告警）【原生】</t>
        </is>
      </c>
      <c r="E88" s="32" t="inlineStr">
        <is>
          <t>App Insights/Log Analytics/Azure Monitor原生：开发仅SDK插桩、作业监控对接与仪表盘</t>
        </is>
      </c>
      <c r="F88" s="46" t="n"/>
      <c r="G88" s="46" t="n">
        <v>0.5</v>
      </c>
      <c r="H88" s="46" t="n">
        <v>0.75</v>
      </c>
      <c r="I88" s="46" t="n">
        <v>0.25</v>
      </c>
      <c r="J88" s="17" t="n"/>
      <c r="K88" s="46">
        <f>ROUND(SUM(F88:I88),2)</f>
        <v/>
      </c>
      <c r="L88" s="17" t="n"/>
    </row>
    <row r="89" ht="26" customHeight="1">
      <c r="A89" s="15" t="inlineStr">
        <is>
          <t>N3-5</t>
        </is>
      </c>
      <c r="B89" s="102" t="n"/>
      <c r="C89" s="17" t="n"/>
      <c r="D89" s="32" t="inlineStr">
        <is>
          <t>容量与增长验证</t>
        </is>
      </c>
      <c r="E89" s="32" t="inlineStr">
        <is>
          <t>600~800表规模扩容压测与容量报告</t>
        </is>
      </c>
      <c r="F89" s="46" t="n"/>
      <c r="G89" s="46" t="n"/>
      <c r="H89" s="46" t="n">
        <v>1</v>
      </c>
      <c r="I89" s="46" t="n">
        <v>0.5</v>
      </c>
      <c r="J89" s="17" t="n"/>
      <c r="K89" s="46">
        <f>ROUND(SUM(F89:I89),2)</f>
        <v/>
      </c>
      <c r="L89" s="17" t="n"/>
    </row>
    <row r="90" ht="26" customHeight="1">
      <c r="A90" s="15" t="inlineStr">
        <is>
          <t>N4-1</t>
        </is>
      </c>
      <c r="B90" s="102" t="n"/>
      <c r="C90" s="99" t="inlineStr">
        <is>
          <t>部署与运维支撑</t>
        </is>
      </c>
      <c r="D90" s="32" t="inlineStr">
        <is>
          <t>Azure DevOps连接K8s与CI/CD部署流水线</t>
        </is>
      </c>
      <c r="E90" s="32" t="inlineStr">
        <is>
          <t>Service Connection/命名空间RBAC授权、构建→镜像→部署K8s流水线（测试/生产两套）、生产环境审批门禁</t>
        </is>
      </c>
      <c r="F90" s="46" t="n"/>
      <c r="G90" s="46" t="n">
        <v>1</v>
      </c>
      <c r="H90" s="46" t="n">
        <v>0.25</v>
      </c>
      <c r="I90" s="46" t="n"/>
      <c r="J90" s="86" t="n">
        <v>0.5</v>
      </c>
      <c r="K90" s="46">
        <f>ROUND(SUM(F90:I90),2)</f>
        <v/>
      </c>
      <c r="L90" s="86">
        <f>ROUND(SUM(F90:I94)+J90,2)</f>
        <v/>
      </c>
    </row>
    <row r="91" ht="26" customHeight="1">
      <c r="A91" s="15" t="inlineStr">
        <is>
          <t>N4-2</t>
        </is>
      </c>
      <c r="B91" s="102" t="n"/>
      <c r="C91" s="17" t="n"/>
      <c r="D91" s="32" t="inlineStr">
        <is>
          <t>K8s发布清单与环境配置</t>
        </is>
      </c>
      <c r="E91" s="32" t="inlineStr">
        <is>
          <t>原生清单Deployment/Service/Ingress/ConfigMap+Secret（不用Helm）、测试/生产两套配置、镜像标签策略/发布Runbook</t>
        </is>
      </c>
      <c r="F91" s="46" t="n"/>
      <c r="G91" s="46" t="n">
        <v>1</v>
      </c>
      <c r="H91" s="46" t="n">
        <v>0.25</v>
      </c>
      <c r="I91" s="46" t="n"/>
      <c r="J91" s="17" t="n"/>
      <c r="K91" s="46">
        <f>ROUND(SUM(F91:I91),2)</f>
        <v/>
      </c>
      <c r="L91" s="17" t="n"/>
    </row>
    <row r="92" ht="26" customHeight="1">
      <c r="A92" s="15" t="inlineStr">
        <is>
          <t>N4-3</t>
        </is>
      </c>
      <c r="B92" s="102" t="n"/>
      <c r="C92" s="17" t="n"/>
      <c r="D92" s="32" t="inlineStr">
        <is>
          <t>测试环境先期部署</t>
        </is>
      </c>
      <c r="E92" s="32" t="inlineStr">
        <is>
          <t>早期先部署测试环境（供联调/集成/系统测试）、随迭代由流水线自动更新</t>
        </is>
      </c>
      <c r="F92" s="46" t="n"/>
      <c r="G92" s="46" t="n"/>
      <c r="H92" s="46" t="n">
        <v>0.5</v>
      </c>
      <c r="I92" s="46" t="n">
        <v>0.25</v>
      </c>
      <c r="J92" s="17" t="n"/>
      <c r="K92" s="46">
        <f>ROUND(SUM(F92:I92),2)</f>
        <v/>
      </c>
      <c r="L92" s="17" t="n"/>
    </row>
    <row r="93" ht="26" customHeight="1">
      <c r="A93" s="15" t="inlineStr">
        <is>
          <t>N4-4</t>
        </is>
      </c>
      <c r="B93" s="102" t="n"/>
      <c r="C93" s="17" t="n"/>
      <c r="D93" s="32" t="inlineStr">
        <is>
          <t>部署预演与回退预案</t>
        </is>
      </c>
      <c r="E93" s="32" t="inlineStr">
        <is>
          <t>预生产完整演练、回退验证</t>
        </is>
      </c>
      <c r="F93" s="46" t="n"/>
      <c r="G93" s="46" t="n"/>
      <c r="H93" s="46" t="n">
        <v>0.5</v>
      </c>
      <c r="I93" s="46" t="n"/>
      <c r="J93" s="17" t="n"/>
      <c r="K93" s="46">
        <f>ROUND(SUM(F93:I93),2)</f>
        <v/>
      </c>
      <c r="L93" s="17" t="n"/>
    </row>
    <row r="94" ht="26" customHeight="1">
      <c r="A94" s="15" t="inlineStr">
        <is>
          <t>N4-5</t>
        </is>
      </c>
      <c r="B94" s="102" t="n"/>
      <c r="C94" s="17" t="n"/>
      <c r="D94" s="32" t="inlineStr">
        <is>
          <t>上线值守与运维交接</t>
        </is>
      </c>
      <c r="E94" s="32" t="inlineStr">
        <is>
          <t>上线窗口值守、运维交接与培训材料</t>
        </is>
      </c>
      <c r="F94" s="46" t="n"/>
      <c r="G94" s="46" t="n">
        <v>1</v>
      </c>
      <c r="H94" s="46" t="n">
        <v>0.25</v>
      </c>
      <c r="I94" s="46" t="n"/>
      <c r="J94" s="17" t="n"/>
      <c r="K94" s="46">
        <f>ROUND(SUM(F94:I94),2)</f>
        <v/>
      </c>
      <c r="L94" s="17" t="n"/>
    </row>
    <row r="95" ht="26" customHeight="1">
      <c r="A95" s="15" t="inlineStr">
        <is>
          <t>N5-1</t>
        </is>
      </c>
      <c r="B95" s="102" t="n"/>
      <c r="C95" s="99" t="inlineStr">
        <is>
          <t>开发侧文档（架构/设计/接口）</t>
        </is>
      </c>
      <c r="D95" s="32" t="inlineStr">
        <is>
          <t>架构与总体设计文档</t>
        </is>
      </c>
      <c r="E95" s="32" t="inlineStr">
        <is>
          <t>架构图/部署视图/ADR汇编成文（Wade提供）</t>
        </is>
      </c>
      <c r="F95" s="46" t="n"/>
      <c r="G95" s="46" t="n">
        <v>1.5</v>
      </c>
      <c r="H95" s="46" t="n"/>
      <c r="I95" s="46" t="n"/>
      <c r="J95" s="86" t="n">
        <v>0.5</v>
      </c>
      <c r="K95" s="46">
        <f>ROUND(SUM(F95:I95),2)</f>
        <v/>
      </c>
      <c r="L95" s="86">
        <f>ROUND(SUM(F95:I97)+J95,2)</f>
        <v/>
      </c>
    </row>
    <row r="96" ht="26" customHeight="1">
      <c r="A96" s="15" t="inlineStr">
        <is>
          <t>N5-2</t>
        </is>
      </c>
      <c r="B96" s="102" t="n"/>
      <c r="C96" s="17" t="n"/>
      <c r="D96" s="32" t="inlineStr">
        <is>
          <t>应用接口与模块设计文档</t>
        </is>
      </c>
      <c r="E96" s="32" t="inlineStr">
        <is>
          <t>OpenAPI导出+模块设计说明（Wade提供）</t>
        </is>
      </c>
      <c r="F96" s="46" t="n"/>
      <c r="G96" s="46" t="n">
        <v>1</v>
      </c>
      <c r="H96" s="46" t="n"/>
      <c r="I96" s="46" t="n"/>
      <c r="J96" s="17" t="n"/>
      <c r="K96" s="46">
        <f>ROUND(SUM(F96:I96),2)</f>
        <v/>
      </c>
      <c r="L96" s="17" t="n"/>
    </row>
    <row r="97" ht="26" customHeight="1">
      <c r="A97" s="15" t="inlineStr">
        <is>
          <t>N5-3</t>
        </is>
      </c>
      <c r="B97" s="103" t="n"/>
      <c r="C97" s="17" t="n"/>
      <c r="D97" s="32" t="inlineStr">
        <is>
          <t>数据设计与ETL/作业文档</t>
        </is>
      </c>
      <c r="E97" s="32" t="inlineStr">
        <is>
          <t>分层设计/数据字典/ETL与作业说明（DevB提供）</t>
        </is>
      </c>
      <c r="F97" s="46" t="n"/>
      <c r="G97" s="46" t="n"/>
      <c r="H97" s="46" t="n">
        <v>2</v>
      </c>
      <c r="I97" s="46" t="n"/>
      <c r="J97" s="17" t="n"/>
      <c r="K97" s="46">
        <f>ROUND(SUM(F97:I97),2)</f>
        <v/>
      </c>
      <c r="L97" s="17" t="n"/>
    </row>
    <row r="98">
      <c r="A98" s="8" t="inlineStr"/>
      <c r="B98" s="8" t="inlineStr">
        <is>
          <t>总计</t>
        </is>
      </c>
      <c r="C98" s="8" t="inlineStr"/>
      <c r="D98" s="93" t="inlineStr">
        <is>
          <t>25项功能×72子任务 + 非功能工程×23子任务（F04-04=Azure原生能力，不计开发）</t>
        </is>
      </c>
      <c r="E98" s="93" t="inlineStr">
        <is>
          <t>独立直估（另含少量需求/PM等工作未列入本表）</t>
        </is>
      </c>
      <c r="F98" s="44">
        <f>ROUND(SUM(F3:F97),2)</f>
        <v/>
      </c>
      <c r="G98" s="44">
        <f>ROUND(SUM(G3:G97),2)</f>
        <v/>
      </c>
      <c r="H98" s="44">
        <f>ROUND(SUM(H3:H97),2)</f>
        <v/>
      </c>
      <c r="I98" s="44">
        <f>ROUND(SUM(I3:I97),2)</f>
        <v/>
      </c>
      <c r="J98" s="44">
        <f>ROUND(SUM(J3:J97),2)</f>
        <v/>
      </c>
      <c r="K98" s="44">
        <f>ROUND(SUM(F98:J98),2)</f>
        <v/>
      </c>
      <c r="L98" s="8" t="inlineStr"/>
    </row>
    <row r="100" ht="56" customHeight="1">
      <c r="A100" s="94" t="inlineStr">
        <is>
          <t>对照说明（四个口径）：① 功能直估 155.0 人天（BA 12.25 / Wade 41.75 / DevB 54.75 / 测试 34.25 / SLC 12.0）——已按配置界面/动态表单复杂度上调前端工作量；② 非功能与工程支撑直估 40.0 人天（N1初始化与基座/N2 ESLint·SonarLint·SAST·依赖治理/N3性能·鉴权掩码·可观测·容量/N4部署运维）；③ 已识别原生组件能力（按配置+验证计价，子任务标注【原生】/【中间件】）：ADLS SSE/CMK加密、ADLS GRS异地冗余、Key Vault密钥管理、SQL DB PITR备份与Monitor告警、Entra ID+MSAL单点登录、App Insights/Log Analytics可观测性、Unity Catalog授权、Azure DevOps扫描门禁；④ 合计 195.0 人天 vs 计划185：Wade 60.75（计划60，有余量）；DevB 69.25（超计划60约9.25）；Mandy三职 65.0（BA 12.5 + 测试 38.75 + SLC 13.75，超计划50约15.0）——角色级差异的吸收路径见下方「AI Native提效折算对照」。</t>
        </is>
      </c>
    </row>
    <row r="102" ht="16" customHeight="1">
      <c r="A102" s="114" t="inlineStr">
        <is>
          <t>AI Native提效折算对照（直估→计划185的吸收路径）：</t>
        </is>
      </c>
    </row>
    <row r="103" ht="16" customHeight="1">
      <c r="A103" s="115" t="inlineStr">
        <is>
          <t>· Mandy：直估 65.0（BA 12.5 + 测试 38.75 + SLC 13.75，SLC已按功能级预估且开发侧文档移至N5）→ 测试×0.65（AI生成用例+人工审校执行）、SLC×0.8（合稿评审）、BA不折减 → ≈48.69 ≈ 计划50 ✓</t>
        </is>
      </c>
    </row>
    <row r="104" ht="16" customHeight="1">
      <c r="A104" s="115" t="inlineStr">
        <is>
          <t>· Wade：直估 60.75（含N5开发侧文档2.5）≈ 计划60，基本持平 ✓</t>
        </is>
      </c>
    </row>
    <row r="105" ht="16" customHeight="1">
      <c r="A105" s="115" t="inlineStr">
        <is>
          <t>· DevB：直估 69.25 → ETL/SQL/作业配置AI生成×0.85 → ≈58.86 ≈ 计划60 ✓（最大风险假设：AI生成ETL需有效落地，纳入风险跟踪）</t>
        </is>
      </c>
    </row>
    <row r="106" ht="16" customHeight="1">
      <c r="A106" s="115" t="inlineStr">
        <is>
          <t>· 合计：直估 195.0 → 折算 ≈168.3 + PM 15 = 183.3 ≤ 185，余 ≈1.7 人天缓冲；若提效不达标，启用备用赶工日（9/20、10/10）</t>
        </is>
      </c>
    </row>
  </sheetData>
  <mergeCells count="105">
    <mergeCell ref="J35:J37"/>
    <mergeCell ref="C14:C17"/>
    <mergeCell ref="L35:L37"/>
    <mergeCell ref="L44:L46"/>
    <mergeCell ref="C95:C97"/>
    <mergeCell ref="C23:C25"/>
    <mergeCell ref="C32:C34"/>
    <mergeCell ref="C38:C40"/>
    <mergeCell ref="J59:J60"/>
    <mergeCell ref="A105:L105"/>
    <mergeCell ref="B63:B74"/>
    <mergeCell ref="C71:C72"/>
    <mergeCell ref="J3:J9"/>
    <mergeCell ref="L14:L17"/>
    <mergeCell ref="C18:C20"/>
    <mergeCell ref="A100:L100"/>
    <mergeCell ref="C66:C67"/>
    <mergeCell ref="J29:J31"/>
    <mergeCell ref="J47:J48"/>
    <mergeCell ref="J38:J40"/>
    <mergeCell ref="A102:L102"/>
    <mergeCell ref="C63:C65"/>
    <mergeCell ref="C41:C43"/>
    <mergeCell ref="L75:L79"/>
    <mergeCell ref="B35:B43"/>
    <mergeCell ref="C35:C37"/>
    <mergeCell ref="J71:J72"/>
    <mergeCell ref="C44:C46"/>
    <mergeCell ref="J51:J52"/>
    <mergeCell ref="J73:J74"/>
    <mergeCell ref="J95:J97"/>
    <mergeCell ref="L38:L40"/>
    <mergeCell ref="J32:J34"/>
    <mergeCell ref="J26:J28"/>
    <mergeCell ref="L66:L67"/>
    <mergeCell ref="L26:L28"/>
    <mergeCell ref="L63:L65"/>
    <mergeCell ref="L41:L43"/>
    <mergeCell ref="J10:J13"/>
    <mergeCell ref="J49:J50"/>
    <mergeCell ref="J18:J20"/>
    <mergeCell ref="A104:L104"/>
    <mergeCell ref="C47:C48"/>
    <mergeCell ref="J90:J94"/>
    <mergeCell ref="L90:L94"/>
    <mergeCell ref="A106:L106"/>
    <mergeCell ref="C51:C52"/>
    <mergeCell ref="J44:J46"/>
    <mergeCell ref="J53:J55"/>
    <mergeCell ref="L53:L55"/>
    <mergeCell ref="J21:J22"/>
    <mergeCell ref="L21:L22"/>
    <mergeCell ref="B3:B22"/>
    <mergeCell ref="C26:C28"/>
    <mergeCell ref="L3:L9"/>
    <mergeCell ref="L29:L31"/>
    <mergeCell ref="C49:C50"/>
    <mergeCell ref="J14:J17"/>
    <mergeCell ref="L23:L25"/>
    <mergeCell ref="C73:C74"/>
    <mergeCell ref="C90:C94"/>
    <mergeCell ref="L71:L72"/>
    <mergeCell ref="L56:L58"/>
    <mergeCell ref="C59:C60"/>
    <mergeCell ref="C53:C55"/>
    <mergeCell ref="J56:J58"/>
    <mergeCell ref="B75:B97"/>
    <mergeCell ref="C21:C22"/>
    <mergeCell ref="C68:C70"/>
    <mergeCell ref="L80:L84"/>
    <mergeCell ref="L10:L13"/>
    <mergeCell ref="J66:J67"/>
    <mergeCell ref="B56:B62"/>
    <mergeCell ref="C29:C31"/>
    <mergeCell ref="L59:L60"/>
    <mergeCell ref="J61:J62"/>
    <mergeCell ref="J68:J70"/>
    <mergeCell ref="L61:L62"/>
    <mergeCell ref="L68:L70"/>
    <mergeCell ref="C56:C58"/>
    <mergeCell ref="L47:L48"/>
    <mergeCell ref="J85:J89"/>
    <mergeCell ref="L85:L89"/>
    <mergeCell ref="C10:C13"/>
    <mergeCell ref="J75:J79"/>
    <mergeCell ref="L73:L74"/>
    <mergeCell ref="L95:L97"/>
    <mergeCell ref="B29:B34"/>
    <mergeCell ref="J23:J25"/>
    <mergeCell ref="B23:B28"/>
    <mergeCell ref="L32:L34"/>
    <mergeCell ref="C61:C62"/>
    <mergeCell ref="L51:L52"/>
    <mergeCell ref="C3:C9"/>
    <mergeCell ref="L49:L50"/>
    <mergeCell ref="J41:J43"/>
    <mergeCell ref="L18:L20"/>
    <mergeCell ref="B44:B55"/>
    <mergeCell ref="C80:C84"/>
    <mergeCell ref="A1:L1"/>
    <mergeCell ref="A103:L103"/>
    <mergeCell ref="C85:C89"/>
    <mergeCell ref="J80:J84"/>
    <mergeCell ref="J63:J65"/>
    <mergeCell ref="C75:C7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FC000"/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8" customWidth="1" min="3" max="3"/>
    <col width="34" customWidth="1" min="4" max="4"/>
    <col width="52" customWidth="1" min="5" max="5"/>
    <col width="14" customWidth="1" min="6" max="6"/>
  </cols>
  <sheetData>
    <row r="1" ht="26" customHeight="1">
      <c r="A1" s="5" t="inlineStr">
        <is>
          <t>里程碑计划（M1~M7 · 全部避开周末与假期）</t>
        </is>
      </c>
    </row>
    <row r="2">
      <c r="A2" s="7" t="inlineStr">
        <is>
          <t>里程碑</t>
        </is>
      </c>
      <c r="B2" s="7" t="inlineStr">
        <is>
          <t>日期</t>
        </is>
      </c>
      <c r="C2" s="7" t="inlineStr">
        <is>
          <t>星期</t>
        </is>
      </c>
      <c r="D2" s="7" t="inlineStr">
        <is>
          <t>交付物/成果</t>
        </is>
      </c>
      <c r="E2" s="7" t="inlineStr">
        <is>
          <t>退出条件（验收标准）</t>
        </is>
      </c>
      <c r="F2" s="7" t="inlineStr">
        <is>
          <t>责任人</t>
        </is>
      </c>
    </row>
    <row r="3" ht="30" customHeight="1">
      <c r="A3" s="33" t="inlineStr">
        <is>
          <t>M1 需求基线冻结</t>
        </is>
      </c>
      <c r="B3" s="23" t="inlineStr">
        <is>
          <t>2026/09/24（周四）</t>
        </is>
      </c>
      <c r="C3" s="23" t="inlineStr">
        <is>
          <t>SRS V1.0、基线确认单</t>
        </is>
      </c>
      <c r="D3" s="33" t="inlineStr">
        <is>
          <t>SRS评审通过、业务方签字；26项优先级锁定；追踪矩阵建立</t>
        </is>
      </c>
      <c r="E3" s="33" t="inlineStr">
        <is>
          <t>SRS评审通过、业务方签字（SRS含非功能需求NFR基线）；26项优先级锁定；追踪矩阵建立</t>
        </is>
      </c>
      <c r="F3" s="35" t="n"/>
    </row>
    <row r="4" ht="30" customHeight="1">
      <c r="A4" s="33" t="inlineStr">
        <is>
          <t>M2 设计评审通过+接口冻结</t>
        </is>
      </c>
      <c r="B4" s="23" t="inlineStr">
        <is>
          <t>2026/10/09（周五）</t>
        </is>
      </c>
      <c r="C4" s="23" t="inlineStr">
        <is>
          <t>架构设计文档V1.0、接口定义、数据字典v1</t>
        </is>
      </c>
      <c r="D4" s="33" t="inlineStr">
        <is>
          <t>设计评审（含外部架构评审#1意见闭环）通过；模块接口冻结</t>
        </is>
      </c>
      <c r="E4" s="33" t="inlineStr">
        <is>
          <t>Wade</t>
        </is>
      </c>
      <c r="F4" s="35" t="n"/>
    </row>
    <row r="5" ht="30" customHeight="1">
      <c r="A5" s="33" t="inlineStr">
        <is>
          <t>M3 样本数据端到端MVP</t>
        </is>
      </c>
      <c r="B5" s="23" t="inlineStr">
        <is>
          <t>2026/10/23（周五）</t>
        </is>
      </c>
      <c r="C5" s="23" t="inlineStr">
        <is>
          <t>M3演示记录（导入→湖→检索可查）</t>
        </is>
      </c>
      <c r="D5" s="33" t="inlineStr">
        <is>
          <t>测试环境（K8s）先期部署就绪；登录→检索→样本数据可查全链路演示通过；CI/CD四道门禁自动；用例库v1.0完成100%</t>
        </is>
      </c>
      <c r="E5" s="33" t="inlineStr">
        <is>
          <t>Wade+DevB</t>
        </is>
      </c>
      <c r="F5" s="35" t="n"/>
    </row>
    <row r="6" ht="30" customHeight="1">
      <c r="A6" s="33" t="inlineStr">
        <is>
          <t>M4 26项功能编码完成</t>
        </is>
      </c>
      <c r="B6" s="23" t="inlineStr">
        <is>
          <t>2026/11/13（周五）</t>
        </is>
      </c>
      <c r="C6" s="23" t="inlineStr">
        <is>
          <t>走查签字单、追踪矩阵26/26</t>
        </is>
      </c>
      <c r="D6" s="33" t="inlineStr">
        <is>
          <t>26项功能编码100%；各模块走查全部签字；无P0缺陷</t>
        </is>
      </c>
      <c r="E6" s="33" t="inlineStr">
        <is>
          <t>Mandy</t>
        </is>
      </c>
      <c r="F6" s="35" t="n"/>
    </row>
    <row r="7" ht="30" customHeight="1">
      <c r="A7" s="33" t="inlineStr">
        <is>
          <t>M5 代码冻结+CC演练对账通过</t>
        </is>
      </c>
      <c r="B7" s="23" t="inlineStr">
        <is>
          <t>2026/12/01（周二）</t>
        </is>
      </c>
      <c r="C7" s="23" t="inlineStr">
        <is>
          <t>全量对账报告、冻结基线、发布包</t>
        </is>
      </c>
      <c r="D7" s="33" t="inlineStr">
        <is>
          <t>CC迁移演练完成（600~800表，行数/校验和100%）；P0/P1缺陷清零；代码冻结</t>
        </is>
      </c>
      <c r="E7" s="33" t="inlineStr">
        <is>
          <t>DevB</t>
        </is>
      </c>
      <c r="F7" s="35" t="n"/>
    </row>
    <row r="8" ht="30" customHeight="1">
      <c r="A8" s="33" t="inlineStr">
        <is>
          <t>M6 系统测试+UAT签字</t>
        </is>
      </c>
      <c r="B8" s="23" t="inlineStr">
        <is>
          <t>2026/12/09（周三）</t>
        </is>
      </c>
      <c r="C8" s="23" t="inlineStr">
        <is>
          <t>系统测试报告、UAT报告、手册V1.0</t>
        </is>
      </c>
      <c r="D8" s="33" t="inlineStr">
        <is>
          <t>全量测试26项+非功能指标达标（对照2.3.1基线）；业务方UAT签字；缺陷关闭或书面接受；生产就绪评审通过</t>
        </is>
      </c>
      <c r="E8" s="33" t="inlineStr">
        <is>
          <t>全量测试26项通过；性能专项（7.2.3）与安全可靠性专项（7.2.6）已于12/4前达标（对照NFR基线2.2.1/2.3.1）；业务方UAT签字（12/7）；缺陷关闭或书面接受；生产就绪评审通过</t>
        </is>
      </c>
      <c r="F8" s="35" t="n"/>
    </row>
    <row r="9" ht="30" customHeight="1">
      <c r="A9" s="33" t="inlineStr">
        <is>
          <t>M7 生产上线·项目交付</t>
        </is>
      </c>
      <c r="B9" s="23" t="inlineStr">
        <is>
          <t>2026/12/16（周三）</t>
        </is>
      </c>
      <c r="C9" s="23" t="inlineStr">
        <is>
          <t>生产系统、终版对账报告、交付确认单</t>
        </is>
      </c>
      <c r="D9" s="33" t="inlineStr">
        <is>
          <t>生产部署+CC全量迁移对账通过；核心场景业务确认；交付物归档完成</t>
        </is>
      </c>
      <c r="E9" s="33" t="inlineStr">
        <is>
          <t>全员</t>
        </is>
      </c>
      <c r="F9" s="35" t="n"/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0AD47"/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9" customWidth="1" min="4" max="4"/>
    <col width="10" customWidth="1" min="5" max="5"/>
    <col width="10" customWidth="1" min="6" max="6"/>
    <col width="11" customWidth="1" min="7" max="7"/>
    <col width="11" customWidth="1" min="8" max="8"/>
    <col width="8" customWidth="1" min="9" max="9"/>
    <col width="11" customWidth="1" min="10" max="10"/>
    <col width="15" customWidth="1" min="11" max="11"/>
  </cols>
  <sheetData>
    <row r="1" ht="26" customHeight="1">
      <c r="A1" s="5" t="inlineStr">
        <is>
          <t>资源负荷（人天）与排期日历</t>
        </is>
      </c>
    </row>
    <row r="2">
      <c r="A2" s="7" t="inlineStr">
        <is>
          <t>负责人</t>
        </is>
      </c>
      <c r="B2" s="7" t="inlineStr">
        <is>
          <t>P1管理</t>
        </is>
      </c>
      <c r="C2" s="7" t="inlineStr">
        <is>
          <t>P2需求</t>
        </is>
      </c>
      <c r="D2" s="7" t="inlineStr">
        <is>
          <t>P3设计</t>
        </is>
      </c>
      <c r="E2" s="7" t="inlineStr">
        <is>
          <t>P4开发一</t>
        </is>
      </c>
      <c r="F2" s="7" t="inlineStr">
        <is>
          <t>P5开发二</t>
        </is>
      </c>
      <c r="G2" s="7" t="inlineStr">
        <is>
          <t>P6开发三</t>
        </is>
      </c>
      <c r="H2" s="7" t="inlineStr">
        <is>
          <t>P7测试UAT</t>
        </is>
      </c>
      <c r="I2" s="7" t="inlineStr">
        <is>
          <t>P8上线</t>
        </is>
      </c>
      <c r="J2" s="7" t="inlineStr">
        <is>
          <t>合计</t>
        </is>
      </c>
      <c r="K2" s="7" t="inlineStr">
        <is>
          <t>可用工作日</t>
        </is>
      </c>
      <c r="L2" s="7" t="inlineStr">
        <is>
          <t>负荷率/说明</t>
        </is>
      </c>
    </row>
    <row r="3">
      <c r="A3" s="36" t="inlineStr">
        <is>
          <t>Mark</t>
        </is>
      </c>
      <c r="B3" s="46">
        <f>IF(ROUND(SUMPRODUCT(('WBS分解'!$C$4:$C$164=3)*('WBS分解'!$E$4:$E$164="Mark")*(LEFT('WBS分解'!$A$4:$A$164,1)="1")*'WBS分解'!$I$4:$I$164),2)=0,"",ROUND(SUMPRODUCT(('WBS分解'!$C$4:$C$164=3)*('WBS分解'!$E$4:$E$164="Mark")*(LEFT('WBS分解'!$A$4:$A$164,1)="1")*'WBS分解'!$I$4:$I$164),2))</f>
        <v/>
      </c>
      <c r="C3" s="46">
        <f>IF(ROUND(SUMPRODUCT(('WBS分解'!$C$4:$C$164=3)*('WBS分解'!$E$4:$E$164="Mark")*(LEFT('WBS分解'!$A$4:$A$164,1)="2")*'WBS分解'!$I$4:$I$164),2)=0,"",ROUND(SUMPRODUCT(('WBS分解'!$C$4:$C$164=3)*('WBS分解'!$E$4:$E$164="Mark")*(LEFT('WBS分解'!$A$4:$A$164,1)="2")*'WBS分解'!$I$4:$I$164),2))</f>
        <v/>
      </c>
      <c r="D3" s="46">
        <f>IF(ROUND(SUMPRODUCT(('WBS分解'!$C$4:$C$164=3)*('WBS分解'!$E$4:$E$164="Mark")*(LEFT('WBS分解'!$A$4:$A$164,1)="3")*'WBS分解'!$I$4:$I$164),2)=0,"",ROUND(SUMPRODUCT(('WBS分解'!$C$4:$C$164=3)*('WBS分解'!$E$4:$E$164="Mark")*(LEFT('WBS分解'!$A$4:$A$164,1)="3")*'WBS分解'!$I$4:$I$164),2))</f>
        <v/>
      </c>
      <c r="E3" s="46">
        <f>IF(ROUND(SUMPRODUCT(('WBS分解'!$C$4:$C$164=3)*('WBS分解'!$E$4:$E$164="Mark")*(LEFT('WBS分解'!$A$4:$A$164,1)="4")*'WBS分解'!$I$4:$I$164),2)=0,"",ROUND(SUMPRODUCT(('WBS分解'!$C$4:$C$164=3)*('WBS分解'!$E$4:$E$164="Mark")*(LEFT('WBS分解'!$A$4:$A$164,1)="4")*'WBS分解'!$I$4:$I$164),2))</f>
        <v/>
      </c>
      <c r="F3" s="46">
        <f>IF(ROUND(SUMPRODUCT(('WBS分解'!$C$4:$C$164=3)*('WBS分解'!$E$4:$E$164="Mark")*(LEFT('WBS分解'!$A$4:$A$164,1)="5")*'WBS分解'!$I$4:$I$164),2)=0,"",ROUND(SUMPRODUCT(('WBS分解'!$C$4:$C$164=3)*('WBS分解'!$E$4:$E$164="Mark")*(LEFT('WBS分解'!$A$4:$A$164,1)="5")*'WBS分解'!$I$4:$I$164),2))</f>
        <v/>
      </c>
      <c r="G3" s="46">
        <f>IF(ROUND(SUMPRODUCT(('WBS分解'!$C$4:$C$164=3)*('WBS分解'!$E$4:$E$164="Mark")*(LEFT('WBS分解'!$A$4:$A$164,1)="6")*'WBS分解'!$I$4:$I$164),2)=0,"",ROUND(SUMPRODUCT(('WBS分解'!$C$4:$C$164=3)*('WBS分解'!$E$4:$E$164="Mark")*(LEFT('WBS分解'!$A$4:$A$164,1)="6")*'WBS分解'!$I$4:$I$164),2))</f>
        <v/>
      </c>
      <c r="H3" s="46">
        <f>IF(ROUND(SUMPRODUCT(('WBS分解'!$C$4:$C$164=3)*('WBS分解'!$E$4:$E$164="Mark")*(LEFT('WBS分解'!$A$4:$A$164,1)="7")*'WBS分解'!$I$4:$I$164),2)=0,"",ROUND(SUMPRODUCT(('WBS分解'!$C$4:$C$164=3)*('WBS分解'!$E$4:$E$164="Mark")*(LEFT('WBS分解'!$A$4:$A$164,1)="7")*'WBS分解'!$I$4:$I$164),2))</f>
        <v/>
      </c>
      <c r="I3" s="46">
        <f>IF(ROUND(SUMPRODUCT(('WBS分解'!$C$4:$C$164=3)*('WBS分解'!$E$4:$E$164="Mark")*(LEFT('WBS分解'!$A$4:$A$164,1)="8")*'WBS分解'!$I$4:$I$164),2)=0,"",ROUND(SUMPRODUCT(('WBS分解'!$C$4:$C$164=3)*('WBS分解'!$E$4:$E$164="Mark")*(LEFT('WBS分解'!$A$4:$A$164,1)="8")*'WBS分解'!$I$4:$I$164),2))</f>
        <v/>
      </c>
      <c r="J3" s="69">
        <f>ROUND(SUM(B3:I3),2)</f>
        <v/>
      </c>
      <c r="K3" t="inlineStr">
        <is>
          <t>15人天贯穿式分布：启动1+周例会6+每日同步2+进度风险跟踪2.5+里程碑评审2.5+收尾1（12/16）</t>
        </is>
      </c>
    </row>
    <row r="4">
      <c r="A4" s="36" t="inlineStr">
        <is>
          <t>Mandy</t>
        </is>
      </c>
      <c r="B4" s="46">
        <f>IF(ROUND(SUMPRODUCT(('WBS分解'!$C$4:$C$164=3)*('WBS分解'!$E$4:$E$164="Mandy")*(LEFT('WBS分解'!$A$4:$A$164,1)="1")*'WBS分解'!$I$4:$I$164),2)=0,"",ROUND(SUMPRODUCT(('WBS分解'!$C$4:$C$164=3)*('WBS分解'!$E$4:$E$164="Mandy")*(LEFT('WBS分解'!$A$4:$A$164,1)="1")*'WBS分解'!$I$4:$I$164),2))</f>
        <v/>
      </c>
      <c r="C4" s="46">
        <f>IF(ROUND(SUMPRODUCT(('WBS分解'!$C$4:$C$164=3)*('WBS分解'!$E$4:$E$164="Mandy")*(LEFT('WBS分解'!$A$4:$A$164,1)="2")*'WBS分解'!$I$4:$I$164),2)=0,"",ROUND(SUMPRODUCT(('WBS分解'!$C$4:$C$164=3)*('WBS分解'!$E$4:$E$164="Mandy")*(LEFT('WBS分解'!$A$4:$A$164,1)="2")*'WBS分解'!$I$4:$I$164),2))</f>
        <v/>
      </c>
      <c r="D4" s="46">
        <f>IF(ROUND(SUMPRODUCT(('WBS分解'!$C$4:$C$164=3)*('WBS分解'!$E$4:$E$164="Mandy")*(LEFT('WBS分解'!$A$4:$A$164,1)="3")*'WBS分解'!$I$4:$I$164),2)=0,"",ROUND(SUMPRODUCT(('WBS分解'!$C$4:$C$164=3)*('WBS分解'!$E$4:$E$164="Mandy")*(LEFT('WBS分解'!$A$4:$A$164,1)="3")*'WBS分解'!$I$4:$I$164),2))</f>
        <v/>
      </c>
      <c r="E4" s="46">
        <f>IF(ROUND(SUMPRODUCT(('WBS分解'!$C$4:$C$164=3)*('WBS分解'!$E$4:$E$164="Mandy")*(LEFT('WBS分解'!$A$4:$A$164,1)="4")*'WBS分解'!$I$4:$I$164),2)=0,"",ROUND(SUMPRODUCT(('WBS分解'!$C$4:$C$164=3)*('WBS分解'!$E$4:$E$164="Mandy")*(LEFT('WBS分解'!$A$4:$A$164,1)="4")*'WBS分解'!$I$4:$I$164),2))</f>
        <v/>
      </c>
      <c r="F4" s="46">
        <f>IF(ROUND(SUMPRODUCT(('WBS分解'!$C$4:$C$164=3)*('WBS分解'!$E$4:$E$164="Mandy")*(LEFT('WBS分解'!$A$4:$A$164,1)="5")*'WBS分解'!$I$4:$I$164),2)=0,"",ROUND(SUMPRODUCT(('WBS分解'!$C$4:$C$164=3)*('WBS分解'!$E$4:$E$164="Mandy")*(LEFT('WBS分解'!$A$4:$A$164,1)="5")*'WBS分解'!$I$4:$I$164),2))</f>
        <v/>
      </c>
      <c r="G4" s="46">
        <f>IF(ROUND(SUMPRODUCT(('WBS分解'!$C$4:$C$164=3)*('WBS分解'!$E$4:$E$164="Mandy")*(LEFT('WBS分解'!$A$4:$A$164,1)="6")*'WBS分解'!$I$4:$I$164),2)=0,"",ROUND(SUMPRODUCT(('WBS分解'!$C$4:$C$164=3)*('WBS分解'!$E$4:$E$164="Mandy")*(LEFT('WBS分解'!$A$4:$A$164,1)="6")*'WBS分解'!$I$4:$I$164),2))</f>
        <v/>
      </c>
      <c r="H4" s="46">
        <f>IF(ROUND(SUMPRODUCT(('WBS分解'!$C$4:$C$164=3)*('WBS分解'!$E$4:$E$164="Mandy")*(LEFT('WBS分解'!$A$4:$A$164,1)="7")*'WBS分解'!$I$4:$I$164),2)=0,"",ROUND(SUMPRODUCT(('WBS分解'!$C$4:$C$164=3)*('WBS分解'!$E$4:$E$164="Mandy")*(LEFT('WBS分解'!$A$4:$A$164,1)="7")*'WBS分解'!$I$4:$I$164),2))</f>
        <v/>
      </c>
      <c r="I4" s="46">
        <f>IF(ROUND(SUMPRODUCT(('WBS分解'!$C$4:$C$164=3)*('WBS分解'!$E$4:$E$164="Mandy")*(LEFT('WBS分解'!$A$4:$A$164,1)="8")*'WBS分解'!$I$4:$I$164),2)=0,"",ROUND(SUMPRODUCT(('WBS分解'!$C$4:$C$164=3)*('WBS分解'!$E$4:$E$164="Mandy")*(LEFT('WBS分解'!$A$4:$A$164,1)="8")*'WBS分解'!$I$4:$I$164),2))</f>
        <v/>
      </c>
      <c r="J4" s="69">
        <f>ROUND(SUM(B4:I4),2)</f>
        <v/>
      </c>
      <c r="K4" t="inlineStr">
        <is>
          <t>负荷率 81%（62个工作日）</t>
        </is>
      </c>
    </row>
    <row r="5">
      <c r="A5" s="36" t="inlineStr">
        <is>
          <t>Wade</t>
        </is>
      </c>
      <c r="B5" s="46">
        <f>IF(ROUND(SUMPRODUCT(('WBS分解'!$C$4:$C$164=3)*('WBS分解'!$E$4:$E$164="Wade")*(LEFT('WBS分解'!$A$4:$A$164,1)="1")*'WBS分解'!$I$4:$I$164),2)=0,"",ROUND(SUMPRODUCT(('WBS分解'!$C$4:$C$164=3)*('WBS分解'!$E$4:$E$164="Wade")*(LEFT('WBS分解'!$A$4:$A$164,1)="1")*'WBS分解'!$I$4:$I$164),2))</f>
        <v/>
      </c>
      <c r="C5" s="46">
        <f>IF(ROUND(SUMPRODUCT(('WBS分解'!$C$4:$C$164=3)*('WBS分解'!$E$4:$E$164="Wade")*(LEFT('WBS分解'!$A$4:$A$164,1)="2")*'WBS分解'!$I$4:$I$164),2)=0,"",ROUND(SUMPRODUCT(('WBS分解'!$C$4:$C$164=3)*('WBS分解'!$E$4:$E$164="Wade")*(LEFT('WBS分解'!$A$4:$A$164,1)="2")*'WBS分解'!$I$4:$I$164),2))</f>
        <v/>
      </c>
      <c r="D5" s="46">
        <f>IF(ROUND(SUMPRODUCT(('WBS分解'!$C$4:$C$164=3)*('WBS分解'!$E$4:$E$164="Wade")*(LEFT('WBS分解'!$A$4:$A$164,1)="3")*'WBS分解'!$I$4:$I$164),2)=0,"",ROUND(SUMPRODUCT(('WBS分解'!$C$4:$C$164=3)*('WBS分解'!$E$4:$E$164="Wade")*(LEFT('WBS分解'!$A$4:$A$164,1)="3")*'WBS分解'!$I$4:$I$164),2))</f>
        <v/>
      </c>
      <c r="E5" s="46">
        <f>IF(ROUND(SUMPRODUCT(('WBS分解'!$C$4:$C$164=3)*('WBS分解'!$E$4:$E$164="Wade")*(LEFT('WBS分解'!$A$4:$A$164,1)="4")*'WBS分解'!$I$4:$I$164),2)=0,"",ROUND(SUMPRODUCT(('WBS分解'!$C$4:$C$164=3)*('WBS分解'!$E$4:$E$164="Wade")*(LEFT('WBS分解'!$A$4:$A$164,1)="4")*'WBS分解'!$I$4:$I$164),2))</f>
        <v/>
      </c>
      <c r="F5" s="46">
        <f>IF(ROUND(SUMPRODUCT(('WBS分解'!$C$4:$C$164=3)*('WBS分解'!$E$4:$E$164="Wade")*(LEFT('WBS分解'!$A$4:$A$164,1)="5")*'WBS分解'!$I$4:$I$164),2)=0,"",ROUND(SUMPRODUCT(('WBS分解'!$C$4:$C$164=3)*('WBS分解'!$E$4:$E$164="Wade")*(LEFT('WBS分解'!$A$4:$A$164,1)="5")*'WBS分解'!$I$4:$I$164),2))</f>
        <v/>
      </c>
      <c r="G5" s="46">
        <f>IF(ROUND(SUMPRODUCT(('WBS分解'!$C$4:$C$164=3)*('WBS分解'!$E$4:$E$164="Wade")*(LEFT('WBS分解'!$A$4:$A$164,1)="6")*'WBS分解'!$I$4:$I$164),2)=0,"",ROUND(SUMPRODUCT(('WBS分解'!$C$4:$C$164=3)*('WBS分解'!$E$4:$E$164="Wade")*(LEFT('WBS分解'!$A$4:$A$164,1)="6")*'WBS分解'!$I$4:$I$164),2))</f>
        <v/>
      </c>
      <c r="H5" s="46">
        <f>IF(ROUND(SUMPRODUCT(('WBS分解'!$C$4:$C$164=3)*('WBS分解'!$E$4:$E$164="Wade")*(LEFT('WBS分解'!$A$4:$A$164,1)="7")*'WBS分解'!$I$4:$I$164),2)=0,"",ROUND(SUMPRODUCT(('WBS分解'!$C$4:$C$164=3)*('WBS分解'!$E$4:$E$164="Wade")*(LEFT('WBS分解'!$A$4:$A$164,1)="7")*'WBS分解'!$I$4:$I$164),2))</f>
        <v/>
      </c>
      <c r="I5" s="46">
        <f>IF(ROUND(SUMPRODUCT(('WBS分解'!$C$4:$C$164=3)*('WBS分解'!$E$4:$E$164="Wade")*(LEFT('WBS分解'!$A$4:$A$164,1)="8")*'WBS分解'!$I$4:$I$164),2)=0,"",ROUND(SUMPRODUCT(('WBS分解'!$C$4:$C$164=3)*('WBS分解'!$E$4:$E$164="Wade")*(LEFT('WBS分解'!$A$4:$A$164,1)="8")*'WBS分解'!$I$4:$I$164),2))</f>
        <v/>
      </c>
      <c r="J5" s="69">
        <f>ROUND(SUM(B5:I5),2)</f>
        <v/>
      </c>
      <c r="K5" t="inlineStr">
        <is>
          <t>负荷率 97%（62个工作日）</t>
        </is>
      </c>
    </row>
    <row r="6">
      <c r="A6" s="36" t="inlineStr">
        <is>
          <t>DevB</t>
        </is>
      </c>
      <c r="B6" s="46">
        <f>IF(ROUND(SUMPRODUCT(('WBS分解'!$C$4:$C$164=3)*('WBS分解'!$E$4:$E$164="DevB")*(LEFT('WBS分解'!$A$4:$A$164,1)="1")*'WBS分解'!$I$4:$I$164),2)=0,"",ROUND(SUMPRODUCT(('WBS分解'!$C$4:$C$164=3)*('WBS分解'!$E$4:$E$164="DevB")*(LEFT('WBS分解'!$A$4:$A$164,1)="1")*'WBS分解'!$I$4:$I$164),2))</f>
        <v/>
      </c>
      <c r="C6" s="46">
        <f>IF(ROUND(SUMPRODUCT(('WBS分解'!$C$4:$C$164=3)*('WBS分解'!$E$4:$E$164="DevB")*(LEFT('WBS分解'!$A$4:$A$164,1)="2")*'WBS分解'!$I$4:$I$164),2)=0,"",ROUND(SUMPRODUCT(('WBS分解'!$C$4:$C$164=3)*('WBS分解'!$E$4:$E$164="DevB")*(LEFT('WBS分解'!$A$4:$A$164,1)="2")*'WBS分解'!$I$4:$I$164),2))</f>
        <v/>
      </c>
      <c r="D6" s="46">
        <f>IF(ROUND(SUMPRODUCT(('WBS分解'!$C$4:$C$164=3)*('WBS分解'!$E$4:$E$164="DevB")*(LEFT('WBS分解'!$A$4:$A$164,1)="3")*'WBS分解'!$I$4:$I$164),2)=0,"",ROUND(SUMPRODUCT(('WBS分解'!$C$4:$C$164=3)*('WBS分解'!$E$4:$E$164="DevB")*(LEFT('WBS分解'!$A$4:$A$164,1)="3")*'WBS分解'!$I$4:$I$164),2))</f>
        <v/>
      </c>
      <c r="E6" s="46">
        <f>IF(ROUND(SUMPRODUCT(('WBS分解'!$C$4:$C$164=3)*('WBS分解'!$E$4:$E$164="DevB")*(LEFT('WBS分解'!$A$4:$A$164,1)="4")*'WBS分解'!$I$4:$I$164),2)=0,"",ROUND(SUMPRODUCT(('WBS分解'!$C$4:$C$164=3)*('WBS分解'!$E$4:$E$164="DevB")*(LEFT('WBS分解'!$A$4:$A$164,1)="4")*'WBS分解'!$I$4:$I$164),2))</f>
        <v/>
      </c>
      <c r="F6" s="46">
        <f>IF(ROUND(SUMPRODUCT(('WBS分解'!$C$4:$C$164=3)*('WBS分解'!$E$4:$E$164="DevB")*(LEFT('WBS分解'!$A$4:$A$164,1)="5")*'WBS分解'!$I$4:$I$164),2)=0,"",ROUND(SUMPRODUCT(('WBS分解'!$C$4:$C$164=3)*('WBS分解'!$E$4:$E$164="DevB")*(LEFT('WBS分解'!$A$4:$A$164,1)="5")*'WBS分解'!$I$4:$I$164),2))</f>
        <v/>
      </c>
      <c r="G6" s="46">
        <f>IF(ROUND(SUMPRODUCT(('WBS分解'!$C$4:$C$164=3)*('WBS分解'!$E$4:$E$164="DevB")*(LEFT('WBS分解'!$A$4:$A$164,1)="6")*'WBS分解'!$I$4:$I$164),2)=0,"",ROUND(SUMPRODUCT(('WBS分解'!$C$4:$C$164=3)*('WBS分解'!$E$4:$E$164="DevB")*(LEFT('WBS分解'!$A$4:$A$164,1)="6")*'WBS分解'!$I$4:$I$164),2))</f>
        <v/>
      </c>
      <c r="H6" s="46">
        <f>IF(ROUND(SUMPRODUCT(('WBS分解'!$C$4:$C$164=3)*('WBS分解'!$E$4:$E$164="DevB")*(LEFT('WBS分解'!$A$4:$A$164,1)="7")*'WBS分解'!$I$4:$I$164),2)=0,"",ROUND(SUMPRODUCT(('WBS分解'!$C$4:$C$164=3)*('WBS分解'!$E$4:$E$164="DevB")*(LEFT('WBS分解'!$A$4:$A$164,1)="7")*'WBS分解'!$I$4:$I$164),2))</f>
        <v/>
      </c>
      <c r="I6" s="46">
        <f>IF(ROUND(SUMPRODUCT(('WBS分解'!$C$4:$C$164=3)*('WBS分解'!$E$4:$E$164="DevB")*(LEFT('WBS分解'!$A$4:$A$164,1)="8")*'WBS分解'!$I$4:$I$164),2)=0,"",ROUND(SUMPRODUCT(('WBS分解'!$C$4:$C$164=3)*('WBS分解'!$E$4:$E$164="DevB")*(LEFT('WBS分解'!$A$4:$A$164,1)="8")*'WBS分解'!$I$4:$I$164),2))</f>
        <v/>
      </c>
      <c r="J6" s="69">
        <f>ROUND(SUM(B6:I6),2)</f>
        <v/>
      </c>
      <c r="K6" t="inlineStr">
        <is>
          <t>负荷率 97%（62个工作日）</t>
        </is>
      </c>
    </row>
    <row r="7">
      <c r="A7" s="38" t="inlineStr">
        <is>
          <t>合计</t>
        </is>
      </c>
      <c r="B7">
        <f>ROUND(SUM(B3:B6),2)</f>
        <v/>
      </c>
      <c r="C7">
        <f>ROUND(SUM(C3:C6),2)</f>
        <v/>
      </c>
      <c r="D7">
        <f>ROUND(SUM(D3:D6),2)</f>
        <v/>
      </c>
      <c r="E7">
        <f>ROUND(SUM(E3:E6),2)</f>
        <v/>
      </c>
      <c r="F7">
        <f>ROUND(SUM(F3:F6),2)</f>
        <v/>
      </c>
      <c r="G7">
        <f>ROUND(SUM(G3:G6),2)</f>
        <v/>
      </c>
      <c r="H7">
        <f>ROUND(SUM(H3:H6),2)</f>
        <v/>
      </c>
      <c r="I7">
        <f>ROUND(SUM(I3:I6),2)</f>
        <v/>
      </c>
      <c r="J7" s="70">
        <f>ROUND(SUM(J3:J6),2)</f>
        <v/>
      </c>
      <c r="K7" t="inlineStr">
        <is>
          <t>与原角色表估算185人天一致（Mandy 50+Wade 60+DevB 60+PM 15）；本版185.0人天</t>
        </is>
      </c>
    </row>
    <row r="9">
      <c r="A9" s="2" t="inlineStr">
        <is>
          <t>排期日历</t>
        </is>
      </c>
    </row>
    <row r="10" ht="28" customHeight="1">
      <c r="A10" s="38" t="inlineStr">
        <is>
          <t>项目窗口</t>
        </is>
      </c>
      <c r="B10" s="40" t="inlineStr">
        <is>
          <t>2026/9/14（周一）→ 2026/12/16（周三）：94个自然日，62个工作日（Wade/DevB按60人天铺满，交付顺延3个工作日）</t>
        </is>
      </c>
    </row>
    <row r="11" ht="28" customHeight="1">
      <c r="A11" s="38" t="inlineStr">
        <is>
          <t>假期扣除</t>
        </is>
      </c>
      <c r="B11" s="40" t="inlineStr">
        <is>
          <t>中秋 9/25（五）~9/27（日）；国庆 10/1（四）~10/7（三）；合计损失6个工作日（9/25、10/1、10/2、10/5、10/6、10/7），任务自动顺延</t>
        </is>
      </c>
    </row>
    <row r="12" ht="28" customHeight="1">
      <c r="A12" s="38" t="inlineStr">
        <is>
          <t>周末</t>
        </is>
      </c>
      <c r="B12" s="40" t="inlineStr">
        <is>
          <t>每周六/日不排任务；官方调休补班日 9/20（日）、10/10（六）逢周末亦不排，可作备用赶工日</t>
        </is>
      </c>
    </row>
    <row r="13">
      <c r="A13" s="2" t="inlineStr">
        <is>
          <t>外部依赖（4项）</t>
        </is>
      </c>
    </row>
    <row r="14" ht="28" customHeight="1">
      <c r="A14" s="38" t="inlineStr">
        <is>
          <t>① CC只读账号</t>
        </is>
      </c>
      <c r="B14" s="40" t="inlineStr">
        <is>
          <t>9/18提交申请（3.2.3）→ 最迟11/13交付，11/16 CC迁移演练（6.2.1）依赖；责任人DevB；超承诺日3天升级管理层</t>
        </is>
      </c>
    </row>
    <row r="15" ht="28" customHeight="1">
      <c r="A15" s="38" t="inlineStr">
        <is>
          <t>② 平台资源交付</t>
        </is>
      </c>
      <c r="B15" s="40" t="inlineStr">
        <is>
          <t>ADLS/Databricks/Key Vault等，9/30验收（3.3.3）；责任人Wade</t>
        </is>
      </c>
    </row>
    <row r="16" ht="28" customHeight="1">
      <c r="A16" s="38" t="inlineStr">
        <is>
          <t>③ 业务方UAT排期</t>
        </is>
      </c>
      <c r="B16" s="40" t="inlineStr">
        <is>
          <t>11/25确认（6.3.4），12/7 UAT执行（7.1.3）；责任人Mandy</t>
        </is>
      </c>
    </row>
    <row r="17" ht="28" customHeight="1">
      <c r="A17" s="38" t="inlineStr">
        <is>
          <t>④ 生产窗口审批</t>
        </is>
      </c>
      <c r="B17" s="40" t="inlineStr">
        <is>
          <t>12/9前完成审批，12/10生产部署（8.1.1）；责任人Mark</t>
        </is>
      </c>
    </row>
    <row r="18" ht="28" customHeight="1">
      <c r="A18" s="38" t="inlineStr">
        <is>
          <t>外部评审人（风险缓解）</t>
        </is>
      </c>
      <c r="B18" s="40" t="inlineStr">
        <is>
          <t>外部架构评审#1：10/9（与M2设计评审同日）；外部关键模块评审#2：11/11（RBAC/掩码/加密/处置引擎）；每次2~4小时</t>
        </is>
      </c>
    </row>
  </sheetData>
  <mergeCells count="11">
    <mergeCell ref="B14:K14"/>
    <mergeCell ref="B11:K11"/>
    <mergeCell ref="B17:K17"/>
    <mergeCell ref="B18:K18"/>
    <mergeCell ref="B16:K16"/>
    <mergeCell ref="B12:K12"/>
    <mergeCell ref="B15:K15"/>
    <mergeCell ref="A13:K13"/>
    <mergeCell ref="B10:K10"/>
    <mergeCell ref="A1:K1"/>
    <mergeCell ref="A9:K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A6A6A6"/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0" customWidth="1" min="1" max="1"/>
    <col width="34" customWidth="1" min="2" max="2"/>
    <col width="50" customWidth="1" min="3" max="3"/>
    <col width="24" customWidth="1" min="4" max="4"/>
    <col width="44" customWidth="1" min="5" max="5"/>
    <col width="9" customWidth="1" min="6" max="6"/>
    <col width="26" customWidth="1" min="7" max="7"/>
  </cols>
  <sheetData>
    <row r="1" ht="26" customHeight="1">
      <c r="A1" s="5" t="inlineStr">
        <is>
          <t>WBS词典（关键工作包定义与验收标准）</t>
        </is>
      </c>
    </row>
    <row r="2">
      <c r="A2" s="7" t="inlineStr">
        <is>
          <t>WBS编号</t>
        </is>
      </c>
      <c r="B2" s="7" t="inlineStr">
        <is>
          <t>任务名称</t>
        </is>
      </c>
      <c r="C2" s="7" t="inlineStr">
        <is>
          <t>工作内容描述</t>
        </is>
      </c>
      <c r="D2" s="7" t="inlineStr">
        <is>
          <t>交付物</t>
        </is>
      </c>
      <c r="E2" s="7" t="inlineStr">
        <is>
          <t>验收标准</t>
        </is>
      </c>
      <c r="F2" s="7" t="inlineStr">
        <is>
          <t>责任人</t>
        </is>
      </c>
      <c r="G2" s="7" t="inlineStr">
        <is>
          <t>假设与前提</t>
        </is>
      </c>
    </row>
    <row r="3" ht="42" customHeight="1">
      <c r="A3" s="15" t="inlineStr">
        <is>
          <t>1.1.1</t>
        </is>
      </c>
      <c r="B3" s="32" t="inlineStr">
        <is>
          <t>项目启动会与AI Native开发模式对齐</t>
        </is>
      </c>
      <c r="C3" s="32" t="inlineStr">
        <is>
          <t>宣布项目范围/里程碑/四道门禁规则/RACI，全员对AI Native协作规约（AI生成+人工审核+门禁合入）达成一致。</t>
        </is>
      </c>
      <c r="D3" s="32" t="inlineStr">
        <is>
          <t>启动会纪要、RACI矩阵</t>
        </is>
      </c>
      <c r="E3" s="32" t="inlineStr">
        <is>
          <t>全员签认AI协作规约；门禁规则（不可bypass）获管理层授权</t>
        </is>
      </c>
      <c r="F3" s="15" t="inlineStr">
        <is>
          <t>Mark</t>
        </is>
      </c>
      <c r="G3" s="32" t="inlineStr">
        <is>
          <t>团队3人+PM到岗；AI工具账号就绪</t>
        </is>
      </c>
    </row>
    <row r="4" ht="42" customHeight="1">
      <c r="A4" s="15" t="inlineStr">
        <is>
          <t>2.2.1</t>
        </is>
      </c>
      <c r="B4" s="32" t="inlineStr">
        <is>
          <t>AI生成SRS初稿+人工修订</t>
        </is>
      </c>
      <c r="C4" s="32" t="inlineStr">
        <is>
          <t>AI根据访谈纪要与26项功能清单生成SRS（数据流图/归档范围矩阵/保留期矩阵），人工逐条核对覆盖与准确性后修订定稿。</t>
        </is>
      </c>
      <c r="D4" s="32" t="inlineStr">
        <is>
          <t>SRS V1.0</t>
        </is>
      </c>
      <c r="E4" s="32" t="inlineStr">
        <is>
          <t>26项功能100%覆盖并通过评审；业务方签字冻结基线</t>
        </is>
      </c>
      <c r="F4" s="15" t="inlineStr">
        <is>
          <t>Mandy</t>
        </is>
      </c>
      <c r="G4" s="32" t="inlineStr">
        <is>
          <t>2.1.1/2.1.2已完成；AI工具可用</t>
        </is>
      </c>
    </row>
    <row r="5" ht="42" customHeight="1">
      <c r="A5" s="15" t="inlineStr">
        <is>
          <t>2.3.1</t>
        </is>
      </c>
      <c r="B5" s="32" t="inlineStr">
        <is>
          <t>NFR测试可执行化</t>
        </is>
      </c>
      <c r="C5" s="32" t="inlineStr">
        <is>
          <t>将SRS中已冻结的NFR基线（性能/安全/合规/可用性/容量）细化为可测的验收标准与用例集，供集成初验（6.3.2）与专项验证（7.2.3/7.2.6）逐项对照。</t>
        </is>
      </c>
      <c r="D5" s="32" t="inlineStr">
        <is>
          <t>NFR可测验收标准清单</t>
        </is>
      </c>
      <c r="E5" s="32" t="inlineStr">
        <is>
          <t>每项NFR有量化指标、测试方法与通过阈值；与2.2.1基线一一对应，无新增无遗漏</t>
        </is>
      </c>
      <c r="F5" s="15" t="inlineStr">
        <is>
          <t>Mandy</t>
        </is>
      </c>
      <c r="G5" s="32" t="inlineStr">
        <is>
          <t>SRS基线已冻结</t>
        </is>
      </c>
    </row>
    <row r="6" ht="42" customHeight="1">
      <c r="A6" s="15" t="inlineStr">
        <is>
          <t>3.1.1</t>
        </is>
      </c>
      <c r="B6" s="32" t="inlineStr">
        <is>
          <t>项目初始化</t>
        </is>
      </c>
      <c r="C6" s="32" t="inlineStr">
        <is>
          <t>代码仓库与分支策略、开发环境统一（本地Docker+云资源连通）、AI工具账号开通，输出初始化核对清单，项目第一天完成。</t>
        </is>
      </c>
      <c r="D6" s="32" t="inlineStr">
        <is>
          <t>初始化核对清单、可用的空仓库与本地环境</t>
        </is>
      </c>
      <c r="E6" s="32" t="inlineStr">
        <is>
          <t>前后端仓库/分支策略/本地环境/AI工具账号全部就绪并可验证</t>
        </is>
      </c>
      <c r="F6" s="15" t="inlineStr">
        <is>
          <t>Wade</t>
        </is>
      </c>
      <c r="G6" s="32" t="inlineStr">
        <is>
          <t>云订阅与AI工具可申请</t>
        </is>
      </c>
    </row>
    <row r="7" ht="42" customHeight="1">
      <c r="A7" s="15" t="inlineStr">
        <is>
          <t>3.1.2</t>
        </is>
      </c>
      <c r="B7" s="32" t="inlineStr">
        <is>
          <t>AI开发工具链与编码规范</t>
        </is>
      </c>
      <c r="C7" s="32" t="inlineStr">
        <is>
          <t>搭建AI Coding工作流（工具链/提示词模板库/人机协作规约/ADR规范），为Vibe Coding立规矩。</t>
        </is>
      </c>
      <c r="D7" s="32" t="inlineStr">
        <is>
          <t>AI开发规范V1.0、工具链配置</t>
        </is>
      </c>
      <c r="E7" s="32" t="inlineStr">
        <is>
          <t>规范评审通过；关键决策以ADR留痕；工具链全员可用</t>
        </is>
      </c>
      <c r="F7" s="15" t="inlineStr">
        <is>
          <t>Wade</t>
        </is>
      </c>
      <c r="G7" s="32" t="inlineStr">
        <is>
          <t>3.1.1初始化完成；AI工具订阅可用</t>
        </is>
      </c>
    </row>
    <row r="8" ht="42" customHeight="1">
      <c r="A8" s="15" t="inlineStr">
        <is>
          <t>3.1.3</t>
        </is>
      </c>
      <c r="B8" s="32" t="inlineStr">
        <is>
          <t>四道安全门禁CI/CD搭建（4人天，含K8s连接与部署流水线）</t>
        </is>
      </c>
      <c r="C8" s="32" t="inlineStr">
        <is>
          <t>Azure DevOps流水线：构建+镜像+SAST静态扫描/依赖扫描/密钥扫描/越权与掩码旁路用例四道硬门禁；含扫描工具接入、越权用例门禁开发与拦截样例演示，任何合入必须过门禁。部署侧：Azure DevOps经Service Connection连接K8s集群（命名空间RBAC授权），配置测试/生产两条部署流水线——测试环境早期先期部署、随迭代自动更新（供联调/集成/系统测试），生产环境终期部署（带审批门禁）。不用Helm，发布物为原生K8s清单。</t>
        </is>
      </c>
      <c r="D8" s="32" t="inlineStr">
        <is>
          <t>CI/CD流水线（4道硬门禁）+K8s部署流水线（测试/生产两套）</t>
        </is>
      </c>
      <c r="E8" s="32" t="inlineStr">
        <is>
          <t>演示一次拦截样例；门禁不可bypass（含紧急发布）；集成测试覆盖率红线写入配置；测试环境可由流水线一键自动部署更新</t>
        </is>
      </c>
      <c r="F8" s="15" t="inlineStr">
        <is>
          <t>Wade</t>
        </is>
      </c>
      <c r="G8" s="32" t="inlineStr">
        <is>
          <t>Azure DevOps权限就绪；3.1.2规范已定</t>
        </is>
      </c>
    </row>
    <row r="9" ht="42" customHeight="1">
      <c r="A9" s="15" t="inlineStr">
        <is>
          <t>3.2.3</t>
        </is>
      </c>
      <c r="B9" s="32" t="inlineStr">
        <is>
          <t>外部依赖前置（资源+CC账号申请）</t>
        </is>
      </c>
      <c r="C9" s="32" t="inlineStr">
        <is>
          <t>平台资源申请单（区域=境内）与CC只读账号申请当日提交并跟踪，账号周期最长、为11/16演练的关键前置。</t>
        </is>
      </c>
      <c r="D9" s="32" t="inlineStr">
        <is>
          <t>申请单、外部依赖清单</t>
        </is>
      </c>
      <c r="E9" s="32" t="inlineStr">
        <is>
          <t>申请已受理并有承诺日期；责任人与承诺日期书面确认</t>
        </is>
      </c>
      <c r="F9" s="15" t="inlineStr">
        <is>
          <t>DevB</t>
        </is>
      </c>
      <c r="G9" s="32" t="inlineStr">
        <is>
          <t>平台团队受理流程正常</t>
        </is>
      </c>
    </row>
    <row r="10" ht="42" customHeight="1">
      <c r="A10" s="15" t="inlineStr">
        <is>
          <t>3.3.6</t>
        </is>
      </c>
      <c r="B10" s="32" t="inlineStr">
        <is>
          <t>设计评审通过+接口冻结◆M2</t>
        </is>
      </c>
      <c r="C10" s="32" t="inlineStr">
        <is>
          <t>总体架构定稿（架构图已预确认，本阶段收尾）+模块接口定义冻结，此后变更走变更流程。</t>
        </is>
      </c>
      <c r="D10" s="32" t="inlineStr">
        <is>
          <t>架构设计文档V1.0、接口冻结基线</t>
        </is>
      </c>
      <c r="E10" s="32" t="inlineStr">
        <is>
          <t>评审通过（含外部评审#1意见闭环）；A/B模块边界书面确认</t>
        </is>
      </c>
      <c r="F10" s="15" t="inlineStr">
        <is>
          <t>Wade</t>
        </is>
      </c>
      <c r="G10" s="32" t="inlineStr">
        <is>
          <t>外部架构评审人到场</t>
        </is>
      </c>
    </row>
    <row r="11" ht="42" customHeight="1">
      <c r="A11" s="15" t="inlineStr">
        <is>
          <t>4.3.3</t>
        </is>
      </c>
      <c r="B11" s="32" t="inlineStr">
        <is>
          <t>端到端联调◆M3（样本MVP）</t>
        </is>
      </c>
      <c r="C11" s="32" t="inlineStr">
        <is>
          <t>登录→检索→样本数据可查全链路演示，并做一次端到端自查，提前暴露分层/权限模型方向性错误（风险A缓解）。</t>
        </is>
      </c>
      <c r="D11" s="32" t="inlineStr">
        <is>
          <t>M3演示记录</t>
        </is>
      </c>
      <c r="E11" s="32" t="inlineStr">
        <is>
          <t>测试环境（K8s）已先期部署并流水线自动更新；全链路演示通过；CI/CD全自动；用例库v1.0完成</t>
        </is>
      </c>
      <c r="F11" s="15" t="inlineStr">
        <is>
          <t>Wade</t>
        </is>
      </c>
      <c r="G11" s="32" t="inlineStr">
        <is>
          <t>模块1/8样本功能完成</t>
        </is>
      </c>
    </row>
    <row r="12" ht="42" customHeight="1">
      <c r="A12" s="15" t="inlineStr">
        <is>
          <t>4.2.5</t>
        </is>
      </c>
      <c r="B12" s="32" t="inlineStr">
        <is>
          <t>F01-04/05 迁移完整性校验</t>
        </is>
      </c>
      <c r="C12" s="32" t="inlineStr">
        <is>
          <t>迁移前后完整性基准记录与比对（行数/校验和/SHA-256），形成对账脚本，为CC全量迁移对账复用。</t>
        </is>
      </c>
      <c r="D12" s="32" t="inlineStr">
        <is>
          <t>对账脚本、校验报告</t>
        </is>
      </c>
      <c r="E12" s="32" t="inlineStr">
        <is>
          <t>样本表比对差异=0；脚本可重复执行并输出报告</t>
        </is>
      </c>
      <c r="F12" s="15" t="inlineStr">
        <is>
          <t>DevB</t>
        </is>
      </c>
      <c r="G12" s="32" t="inlineStr">
        <is>
          <t>4.2.4 RAW层落地完成</t>
        </is>
      </c>
    </row>
    <row r="13" ht="42" customHeight="1">
      <c r="A13" s="15" t="inlineStr">
        <is>
          <t>5.2.5</t>
        </is>
      </c>
      <c r="B13" s="32" t="inlineStr">
        <is>
          <t>F03-01 到期自动删除处置引擎</t>
        </is>
      </c>
      <c r="C13" s="32" t="inlineStr">
        <is>
          <t>处置引擎：扫描到期分区→DROP PARTITION→VACUUM物理清除，配合Legal Hold豁免与留痕。</t>
        </is>
      </c>
      <c r="D13" s="32" t="inlineStr">
        <is>
          <t>处置引擎作业</t>
        </is>
      </c>
      <c r="E13" s="32" t="inlineStr">
        <is>
          <t>短保留期样本到期被物理清除且留痕完整；Legal Hold记录不被删除</t>
        </is>
      </c>
      <c r="F13" s="15" t="inlineStr">
        <is>
          <t>DevB</t>
        </is>
      </c>
      <c r="G13" s="32" t="inlineStr">
        <is>
          <t>生命周期分区设计已验证</t>
        </is>
      </c>
    </row>
    <row r="14" ht="42" customHeight="1">
      <c r="A14" s="15" t="inlineStr">
        <is>
          <t>5.4.1</t>
        </is>
      </c>
      <c r="B14" s="32" t="inlineStr">
        <is>
          <t>外部关键模块评审#2</t>
        </is>
      </c>
      <c r="C14" s="32" t="inlineStr">
        <is>
          <t>外部评审人审查RBAC/掩码/加密/处置引擎四个关键模块的AI生成代码，弥补无内部代码评审的缺陷拦截缺口。</t>
        </is>
      </c>
      <c r="D14" s="32" t="inlineStr">
        <is>
          <t>评审记录、行动项清单</t>
        </is>
      </c>
      <c r="E14" s="32" t="inlineStr">
        <is>
          <t>关键模块高严重度问题清零或列入修复计划</t>
        </is>
      </c>
      <c r="F14" s="15" t="inlineStr">
        <is>
          <t>Wade</t>
        </is>
      </c>
      <c r="G14" s="32" t="inlineStr">
        <is>
          <t>外部评审人每两周4h已授权</t>
        </is>
      </c>
    </row>
    <row r="15" ht="42" customHeight="1">
      <c r="A15" s="15" t="inlineStr">
        <is>
          <t>6.2.1</t>
        </is>
      </c>
      <c r="B15" s="32" t="inlineStr">
        <is>
          <t>CC真实数据迁移演练I</t>
        </is>
      </c>
      <c r="C15" s="32" t="inlineStr">
        <is>
          <t>1253表扫描分类→600~800有效表分批迁移实战（F01全链路），作业由AI生成、人工监控。</t>
        </is>
      </c>
      <c r="D15" s="32" t="inlineStr">
        <is>
          <t>扫描分类清单、迁移批次计划</t>
        </is>
      </c>
      <c r="E15" s="32" t="inlineStr">
        <is>
          <t>首批迁移成功率与吞吐达标；类型映射适配清单输出</t>
        </is>
      </c>
      <c r="F15" s="15" t="inlineStr">
        <is>
          <t>DevB</t>
        </is>
      </c>
      <c r="G15" s="32" t="inlineStr">
        <is>
          <t>CC只读账号已交付</t>
        </is>
      </c>
    </row>
    <row r="16" ht="42" customHeight="1">
      <c r="A16" s="15" t="inlineStr">
        <is>
          <t>6.2.3</t>
        </is>
      </c>
      <c r="B16" s="32" t="inlineStr">
        <is>
          <t>CC全量对账报告</t>
        </is>
      </c>
      <c r="C16" s="32" t="inlineStr">
        <is>
          <t>演练完成后对RAW/CURATED/LAKE/SERVE四层做行数与字节级对账，AI生成报告初稿+差异处理记录。</t>
        </is>
      </c>
      <c r="D16" s="32" t="inlineStr">
        <is>
          <t>全量对账报告</t>
        </is>
      </c>
      <c r="E16" s="32" t="inlineStr">
        <is>
          <t>行数/校验和100%一致；差异全部闭环并有记录</t>
        </is>
      </c>
      <c r="F16" s="15" t="inlineStr">
        <is>
          <t>DevB</t>
        </is>
      </c>
      <c r="G16" s="32" t="inlineStr">
        <is>
          <t>6.2.2逐批对账完成</t>
        </is>
      </c>
    </row>
    <row r="17" ht="42" customHeight="1">
      <c r="A17" s="15" t="inlineStr">
        <is>
          <t>7.1.3</t>
        </is>
      </c>
      <c r="B17" s="32" t="inlineStr">
        <is>
          <t>UAT组织与主持◆M6</t>
        </is>
      </c>
      <c r="C17" s="32" t="inlineStr">
        <is>
          <t>业务方按CC真实场景执行UAT（检索/预览/导出/处置/审计全场景），BA主持并跟踪问题闭环。</t>
        </is>
      </c>
      <c r="D17" s="32" t="inlineStr">
        <is>
          <t>UAT报告、签字</t>
        </is>
      </c>
      <c r="E17" s="32" t="inlineStr">
        <is>
          <t>P0/P1问题全部关闭；用户代表签署UAT结论</t>
        </is>
      </c>
      <c r="F17" s="15" t="inlineStr">
        <is>
          <t>Mandy</t>
        </is>
      </c>
      <c r="G17" s="32" t="inlineStr">
        <is>
          <t>全量测试通过；业务方排期确认</t>
        </is>
      </c>
    </row>
    <row r="18" ht="42" customHeight="1">
      <c r="A18" s="15" t="inlineStr">
        <is>
          <t>7.2.3/7.2.6</t>
        </is>
      </c>
      <c r="B18" s="32" t="inlineStr">
        <is>
          <t>性能与安全可靠性专项验证</t>
        </is>
      </c>
      <c r="C18" s="32" t="inlineStr">
        <is>
          <t>对照2.3.1 NFR基线逐项验证：性能（检索响应/预览加载/导出吞吐/并发）实测与调优；安全（越权/掩码旁路用例）执行；可靠性（备份恢复+灾备切换）演练。</t>
        </is>
      </c>
      <c r="D18" s="32" t="inlineStr">
        <is>
          <t>性能验证报告、安全可靠性验证报告</t>
        </is>
      </c>
      <c r="E18" s="32" t="inlineStr">
        <is>
          <t>NFR指标全部达标或有书面接受；不达标项完成调优并复测</t>
        </is>
      </c>
      <c r="F18" s="15" t="inlineStr">
        <is>
          <t>Wade/DevB</t>
        </is>
      </c>
      <c r="G18" s="32" t="inlineStr">
        <is>
          <t>全量测试通过；迁移预跑完成</t>
        </is>
      </c>
    </row>
    <row r="19" ht="42" customHeight="1">
      <c r="A19" s="15" t="inlineStr">
        <is>
          <t>8.1.2</t>
        </is>
      </c>
      <c r="B19" s="32" t="inlineStr">
        <is>
          <t>CC生产全量迁移</t>
        </is>
      </c>
      <c r="C19" s="32" t="inlineStr">
        <is>
          <t>生产环境分批执行600~800表全量迁移+终版对账，作业自动化执行、人工值守。</t>
        </is>
      </c>
      <c r="D19" s="32" t="inlineStr">
        <is>
          <t>终版对账报告</t>
        </is>
      </c>
      <c r="E19" s="32" t="inlineStr">
        <is>
          <t>迁移对账差异率=0；回退方案演练就绪</t>
        </is>
      </c>
      <c r="F19" s="15" t="inlineStr">
        <is>
          <t>DevB</t>
        </is>
      </c>
      <c r="G19" s="32" t="inlineStr">
        <is>
          <t>生产窗口获批；预跑通过</t>
        </is>
      </c>
    </row>
  </sheetData>
  <mergeCells count="1"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ED7D31"/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66" customWidth="1" min="3" max="3"/>
  </cols>
  <sheetData>
    <row r="1" ht="26" customHeight="1">
      <c r="A1" s="5" t="inlineStr">
        <is>
          <t>项目进度汇总（自动统计）</t>
        </is>
      </c>
    </row>
    <row r="2">
      <c r="A2" s="7" t="inlineStr">
        <is>
          <t>统计项</t>
        </is>
      </c>
      <c r="B2" s="7" t="inlineStr">
        <is>
          <t>数值</t>
        </is>
      </c>
      <c r="C2" s="7" t="inlineStr">
        <is>
          <t>说明</t>
        </is>
      </c>
    </row>
    <row r="3">
      <c r="A3" s="17" t="inlineStr">
        <is>
          <t>任务总数（含各级汇总行）</t>
        </is>
      </c>
      <c r="B3" s="15">
        <f>COUNTA('WBS分解'!$A$4:$A$164)</f>
        <v/>
      </c>
      <c r="C3" s="17" t="inlineStr">
        <is>
          <t>按已填写WBS编号的行数统计</t>
        </is>
      </c>
    </row>
    <row r="4">
      <c r="A4" s="17" t="inlineStr">
        <is>
          <t>其中：一级任务数</t>
        </is>
      </c>
      <c r="B4" s="15">
        <f>COUNTIF('WBS分解'!$C$4:$C$164,1)</f>
        <v/>
      </c>
      <c r="C4" s="17" t="inlineStr">
        <is>
          <t>层级=1 的行数</t>
        </is>
      </c>
    </row>
    <row r="5">
      <c r="A5" s="17" t="inlineStr">
        <is>
          <t>其中：工作包数（三级）</t>
        </is>
      </c>
      <c r="B5" s="15">
        <f>COUNTIF('WBS分解'!$C$4:$C$164,3)</f>
        <v/>
      </c>
      <c r="C5" s="17" t="inlineStr">
        <is>
          <t>层级=3 的行数</t>
        </is>
      </c>
    </row>
    <row r="6">
      <c r="A6" s="17" t="inlineStr">
        <is>
          <t>已完成</t>
        </is>
      </c>
      <c r="B6" s="15">
        <f>COUNTIF('WBS分解'!$L$4:$L$164,"已完成")</f>
        <v/>
      </c>
      <c r="C6" s="17" t="inlineStr"/>
    </row>
    <row r="7">
      <c r="A7" s="17" t="inlineStr">
        <is>
          <t>进行中</t>
        </is>
      </c>
      <c r="B7" s="15">
        <f>COUNTIF('WBS分解'!$L$4:$L$164,"进行中")</f>
        <v/>
      </c>
      <c r="C7" s="17" t="inlineStr"/>
    </row>
    <row r="8">
      <c r="A8" s="17" t="inlineStr">
        <is>
          <t>未开始</t>
        </is>
      </c>
      <c r="B8" s="15">
        <f>COUNTIF('WBS分解'!$L$4:$L$164,"未开始")</f>
        <v/>
      </c>
      <c r="C8" s="17" t="inlineStr"/>
    </row>
    <row r="9">
      <c r="A9" s="17" t="inlineStr">
        <is>
          <t>已延期</t>
        </is>
      </c>
      <c r="B9" s="15">
        <f>COUNTIF('WBS分解'!$L$4:$L$164,"已延期")</f>
        <v/>
      </c>
      <c r="C9" s="17" t="inlineStr"/>
    </row>
    <row r="10">
      <c r="A10" s="17" t="inlineStr">
        <is>
          <t>任务完成率</t>
        </is>
      </c>
      <c r="B10" s="71">
        <f>IFERROR(COUNTIF('WBS分解'!$L$4:$L$164,"已完成")/COUNTA('WBS分解'!$A$4:$A$164),0)</f>
        <v/>
      </c>
      <c r="C10" s="17" t="inlineStr">
        <is>
          <t>已完成 ÷ 任务总数</t>
        </is>
      </c>
    </row>
    <row r="11">
      <c r="A11" s="17" t="inlineStr">
        <is>
          <t>整体平均进度</t>
        </is>
      </c>
      <c r="B11" s="71">
        <f>AVERAGE('WBS分解'!$M$4:$M$164)</f>
        <v/>
      </c>
      <c r="C11" s="17" t="inlineStr">
        <is>
          <t>对进度列简单平均</t>
        </is>
      </c>
    </row>
    <row r="12">
      <c r="A12" s="17" t="inlineStr">
        <is>
          <t>工作量合计（人天·仅三级工作包）</t>
        </is>
      </c>
      <c r="B12" s="46">
        <f>SUMPRODUCT(('WBS分解'!$C$4:$C$164=3)*'WBS分解'!$I$4:$I$164)</f>
        <v/>
      </c>
      <c r="C12" s="17" t="inlineStr">
        <is>
          <t>Mark 15 / Mandy / Wade / DevB 见「资源负荷与日历」</t>
        </is>
      </c>
    </row>
    <row r="13">
      <c r="A13" s="17" t="inlineStr">
        <is>
          <t>Mark 工作量（人天）</t>
        </is>
      </c>
      <c r="B13" s="46">
        <f>SUMPRODUCT(('WBS分解'!$C$4:$C$164=3)*('WBS分解'!$E$4:$E$164="Mark")*'WBS分解'!$I$4:$I$164)</f>
        <v/>
      </c>
      <c r="C13" s="17" t="inlineStr">
        <is>
          <t>约定15人天</t>
        </is>
      </c>
    </row>
    <row r="14">
      <c r="A14" s="17" t="inlineStr">
        <is>
          <t>Mandy 工作量（人天）</t>
        </is>
      </c>
      <c r="B14" s="46">
        <f>SUMPRODUCT(('WBS分解'!$C$4:$C$164=3)*('WBS分解'!$E$4:$E$164="Mandy")*'WBS分解'!$I$4:$I$164)</f>
        <v/>
      </c>
      <c r="C14" s="17" t="inlineStr">
        <is>
          <t>BA/测试/文档</t>
        </is>
      </c>
    </row>
    <row r="15">
      <c r="A15" s="17" t="inlineStr">
        <is>
          <t>Wade 工作量（人天）</t>
        </is>
      </c>
      <c r="B15" s="46">
        <f>SUMPRODUCT(('WBS分解'!$C$4:$C$164=3)*('WBS分解'!$E$4:$E$164="Wade")*'WBS分解'!$I$4:$I$164)</f>
        <v/>
      </c>
      <c r="C15" s="17" t="inlineStr">
        <is>
          <t>开发A</t>
        </is>
      </c>
    </row>
    <row r="16">
      <c r="A16" s="17" t="inlineStr">
        <is>
          <t>DevB 工作量（人天）</t>
        </is>
      </c>
      <c r="B16" s="46">
        <f>SUMPRODUCT(('WBS分解'!$C$4:$C$164=3)*('WBS分解'!$E$4:$E$164="DevB")*'WBS分解'!$I$4:$I$164)</f>
        <v/>
      </c>
      <c r="C16" s="17" t="inlineStr">
        <is>
          <t>开发B</t>
        </is>
      </c>
    </row>
    <row r="17">
      <c r="A17" s="17" t="inlineStr">
        <is>
          <t>预算合计（元）</t>
        </is>
      </c>
      <c r="B17" s="46">
        <f>SUM('WBS分解'!$O$4:$O$164)</f>
        <v/>
      </c>
      <c r="C17" s="17" t="inlineStr">
        <is>
          <t>未填列，可按需补充</t>
        </is>
      </c>
    </row>
    <row r="19">
      <c r="A19" s="42" t="inlineStr">
        <is>
          <t>※ 本页自动汇总自「WBS分解」表，请勿手工修改。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2026-09-01T09:13:16Z</dcterms:created>
  <dcterms:modified xsi:type="dcterms:W3CDTF">2026-09-02T06:47:10Z</dcterms:modified>
</cp:coreProperties>
</file>