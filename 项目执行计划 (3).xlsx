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00" windowHeight="14100" activeTab="2"/>
  </bookViews>
  <sheets>
    <sheet name="风险清单 (2)" sheetId="1" state="hidden" r:id="rId1"/>
    <sheet name="Scope-Phase1" sheetId="2" r:id="rId2"/>
    <sheet name="团队角色与分工1" sheetId="7" r:id="rId3"/>
    <sheet name="风险清单" sheetId="8" state="hidden" r:id="rId4"/>
    <sheet name=" 计划总览1" sheetId="9" r:id="rId5"/>
    <sheet name="周计划明细1" sheetId="10" r:id="rId6"/>
    <sheet name="影响分析" sheetId="11" r:id="rId7"/>
  </sheets>
  <definedNames>
    <definedName name="_xlnm._FilterDatabase" localSheetId="5" hidden="1">周计划明细1!$A$1:$F$96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<sst xmlns="http://schemas.openxmlformats.org/spreadsheetml/2006/main" count="909" uniqueCount="457">
  <si>
    <t>AI Vibe Coding 执行方案 · 局限性与风险清单</t>
  </si>
  <si>
    <t>类别</t>
  </si>
  <si>
    <t>局限点</t>
  </si>
  <si>
    <t>具体表现</t>
  </si>
  <si>
    <t>影响阶段</t>
  </si>
  <si>
    <t>后果与量化影响</t>
  </si>
  <si>
    <t>等级</t>
  </si>
  <si>
    <t>已有缓解措施</t>
  </si>
  <si>
    <t>需管理层决策 / 授权事项</t>
  </si>
  <si>
    <t>预警信号</t>
  </si>
  <si>
    <t>A 人身与组织</t>
  </si>
  <si>
    <t>决策无对手方，架构错误发现晚</t>
  </si>
  <si>
    <t>架构与技术选型（Iceberg 分层、掩码方案、处置引擎调度）无人挑战，AI 倾向顺从提问者既有思路，不构成独立反对意见。</t>
  </si>
  <si>
    <t>P0~P2 决策，P3 暴露</t>
  </si>
  <si>
    <t>一次分层或权限模型的方向性错误，若在 P3 全量迁移（600~800 表）后才暴露，返工成本约 10~15 人天，且需重跑迁移批次。</t>
  </si>
  <si>
    <t>高</t>
  </si>
  <si>
    <t>关键决策写 ADR 留痕；W5 MVP 里程碑做一次端到端自查。</t>
  </si>
  <si>
    <t>① 外部架构评审 2 次（P0 末、P2 末，各 2h）；② 平台团队对 UC / 存储方案出具书面认可。</t>
  </si>
  <si>
    <t>同一模块两周内被重构两次以上。</t>
  </si>
  <si>
    <t>B 质量与工程</t>
  </si>
  <si>
    <t>无代码评审，缺陷拦截层缺失</t>
  </si>
  <si>
    <t>团队版的代码评审 + 独立 QA 两道人工防线全部取消，仅靠 AI 自查与自动化测试兜底。AI 自查与写代码同源，存在同源盲区。</t>
  </si>
  <si>
    <t>P1~P3</t>
  </si>
  <si>
    <t>行业经验值中同行评审可拦截 50%~60% 缺陷；该部分缺陷将后移至 UAT 或生产暴露，修复成本约为编码期的 10~30 倍。按本项目体量，预估额外返工 8~15 人天。</t>
  </si>
  <si>
    <t>极高</t>
  </si>
  <si>
    <t>四道安全门禁进 CI；集成测试覆盖率 &gt;60%；越权与掩码旁路用例全跑。</t>
  </si>
  <si>
    <t>① 外部评审人每两周 4h，只看关键模块（RBAC / 掩码 / 加密 / 处置引擎）——约 10 人天/全周期；② 覆盖率红线写入验收标准。</t>
  </si>
  <si>
    <t>UAT 缺陷密度显著高于历史同类项目。</t>
  </si>
  <si>
    <t>AI 生成代码的固有缺陷</t>
  </si>
  <si>
    <t>幻觉 API、过时依赖、隐性安全缺陷、重复实现、抽象缺失。Vibe coding 下代码量膨胀快，一致性依赖人工把关，而把关者只有一人。</t>
  </si>
  <si>
    <t>P1~P3 累积</t>
  </si>
  <si>
    <t>技术债在 P3 全量与 P4 回归阶段集中放大，回归测试与修复时间上升；上线后可维护性下降，转维成本增加。</t>
  </si>
  <si>
    <t>四道门禁为硬门禁；依赖版本锁定；集成测试覆盖关键路径。</t>
  </si>
  <si>
    <t>① 授权门禁不可 bypass（含紧急发布，不开临时豁免）；② 认可 P6 缓冲中包含技术债偿还时间，不挪用于新功能。</t>
  </si>
  <si>
    <t>同类逻辑出现 3 处以上重复实现；门禁被临时豁免。</t>
  </si>
  <si>
    <t>代码可维护性差（"能跑就行"）</t>
  </si>
  <si>
    <t>AI 生成代码风格漂移、重复代码多、命名不一致；单人赶进度优先 Copy-Paste 而非抽象；无重构节奏</t>
  </si>
  <si>
    <t>维护代码，也需要依赖AI来处理</t>
  </si>
  <si>
    <t xml:space="preserve">每周固定半天"还债时间"只做重构；用 AI 反向生成模块 README 与调用图；关键模块保持 &lt;300 行  </t>
  </si>
  <si>
    <t>债只会减缓不会消失</t>
  </si>
  <si>
    <t>自己看不懂代码</t>
  </si>
  <si>
    <t>C 进度与估算</t>
  </si>
  <si>
    <t>串行关键路径，无并行冗余</t>
  </si>
  <si>
    <t>团队版 5 人并行的 P1 被压成 1 人串行 3 周。任一环节阻塞（资源未交付、CC 账号未开、UC 权限异常），全线停摆，无人可切换到其他任务分支。</t>
  </si>
  <si>
    <t>P0~P4</t>
  </si>
  <si>
    <t>外部依赖（CC 只读账号、平台资源交付、UAT 排期、审批）为物理时间，两版相同但单人版无并行缓冲。单项延期 2 周即消耗 2/3 缓冲。</t>
  </si>
  <si>
    <t>P0 W1 立即启动周期最长的 CC 账号与白名单申请；外部依赖前置。</t>
  </si>
  <si>
    <t>① 4 项外部依赖各指定责任人与承诺日期（CC 账号、平台资源、UAT 排期、审批窗口）；② 阻塞超 3 天可直接升级至管理层。</t>
  </si>
  <si>
    <t>任一外部依赖超出承诺日期 3 天以上。</t>
  </si>
  <si>
    <t>缓冲吸收能力有限</t>
  </si>
  <si>
    <t>P6 预留 3 周缓冲（占 17%），需同时覆盖全量迁移、UAT、审批、遗留 Bug、技术债五类不确定性。</t>
  </si>
  <si>
    <t>P6（W18~W20）</t>
  </si>
  <si>
    <t>缓冲仅能吸收一类中等延期。若全量迁移 +1 周、UAT +1 周、审批 +1 周同时发生（各自概率均不低），缓冲即被穿透，工期外溢。</t>
  </si>
  <si>
    <t>中</t>
  </si>
  <si>
    <t>缓冲不预先占用；P3 起每周跟踪缓冲余量。</t>
  </si>
  <si>
    <t>① 明确缓冲穿透后的处理预案（延期 or 缩减 P5 文档范围）；② 缓冲消耗报告纳入周报。</t>
  </si>
  <si>
    <t>W14 前已消耗缓冲超过 1 周。</t>
  </si>
  <si>
    <t>疲劳累积与效率衰减</t>
  </si>
  <si>
    <t>20 周（4.5 个月）单人高强度无轮换。P4 上线压力期与 P5 文档枯燥期连续叠加 6 周，无人分担。</t>
  </si>
  <si>
    <t>P4~P6</t>
  </si>
  <si>
    <t>后期效率衰减难以避免，文档阶段（P5）尤易拖延；一旦 P5 拖延，直接侵占 P6 缓冲。</t>
  </si>
  <si>
    <t>P5 文档以 AI 从代码 / git 记录反生成为主，降低人工负荷。</t>
  </si>
  <si>
    <t>① 认可 P4→P5 之间安排 2~3 天恢复期（已含在 20 周内则需明示）；② 不在 P5 期间追加新需求。</t>
  </si>
  <si>
    <t>P5 单周文档产出低于计划的 60%。</t>
  </si>
  <si>
    <t>D 合规与文档</t>
  </si>
  <si>
    <t>文档后置，与 SLC「设计先行」存在偏离</t>
  </si>
  <si>
    <t>架构图、详细设计、数据字典、手册集中在 P5（W15~W17）产出，即上线（W14）之后。SLC 通常要求设计文档先于开发。</t>
  </si>
  <si>
    <t>P5，审批环节暴露</t>
  </si>
  <si>
    <t>若审批方要求「设计文档需先于开发存在」，后补文档存在形式合规瑕疵，可能被要求重新走评审，风险 1~2 周；最坏情形影响 Go-Live 签字。</t>
  </si>
  <si>
    <t>开发期以 ADR + git 提交记录留痕，供 P5 反生成；接口文档由 OpenAPI 自动导出。</t>
  </si>
  <si>
    <t>① 「先交付后补文档」的流程偏离需取得书面批准（waiver）；② 或确认 ADR 轻量留痕可作为设计先行的替代证据。</t>
  </si>
  <si>
    <t>审批方或审计提出文档时间戳晚于代码的质疑。</t>
  </si>
  <si>
    <t>记忆衰减导致文档与实现脱节</t>
  </si>
  <si>
    <t>P1 的实现细节到 P5 已相隔 10~12 周，靠 git 历史与 AI 反生成还原，细节与决策理由（为何这样设计）易失真。</t>
  </si>
  <si>
    <t>P5</t>
  </si>
  <si>
    <t>设计文档与实际实现不一致，转维与后续审计中成为返工点；预估 P5 需额外 2~4 人天做一致性核对。</t>
  </si>
  <si>
    <t>开发期强制写 ADR（决策 + 理由 + 备选方案）；提交信息规范化。</t>
  </si>
  <si>
    <t>① 认可 P5 文档为「实现文档」而非「设计文档」的定性差异；② 若需真设计文档，需追加工期。</t>
  </si>
  <si>
    <t>P5 反生成产出中出现与代码不符的描述。</t>
  </si>
  <si>
    <t>阶段</t>
  </si>
  <si>
    <t>功能模块</t>
  </si>
  <si>
    <t>业务场景</t>
  </si>
  <si>
    <t>关键功能</t>
  </si>
  <si>
    <t>具体功能</t>
  </si>
  <si>
    <t>功能描述</t>
  </si>
  <si>
    <t>Phase1：基础归档与查询</t>
  </si>
  <si>
    <t>模块 1：存量历史数据迁移与标准化</t>
  </si>
  <si>
    <t>退役系统历史数据全量入库归档</t>
  </si>
  <si>
    <t>历史数据批量导入</t>
  </si>
  <si>
    <t>结构化历史数据批量导入</t>
  </si>
  <si>
    <t>支持从退役系统批量提取结构化历史数据，并按照既定迁移范围和映射规则导入RIMS。</t>
  </si>
  <si>
    <t>非结构化文件及离线包批量导入</t>
  </si>
  <si>
    <t>支持从多种文件来源和离线介质批量导入附件、普通文件、数据库备份包及压缩归档包，并保障大文件及传输中断场景下的可靠导入、原始属性保留和文件包解析。</t>
  </si>
  <si>
    <t>迁移规则配置</t>
  </si>
  <si>
    <t>数据导入规则配置</t>
  </si>
  <si>
    <t>面向退役系统迁移项目，配置源数据与RIMS标准字段的对应关系、格式转换和校验规则，并在导入过程中执行。</t>
  </si>
  <si>
    <t>确保迁移过程数据完整可追溯</t>
  </si>
  <si>
    <t>迁移完整性校验</t>
  </si>
  <si>
    <t>迁移前完整性基准记录</t>
  </si>
  <si>
    <t>在迁移前记录文件或数据集的完整性校验信息，作为迁移完成后的比对基准。</t>
  </si>
  <si>
    <t>迁移后完整性比对</t>
  </si>
  <si>
    <t>迁移完成后对源端与目标端数据进行完整性比对，识别缺失、损坏或异常变更。</t>
  </si>
  <si>
    <t>模块 4：数据存储与境内数据安全管控</t>
  </si>
  <si>
    <t>满足数据不出境和本地化合规要求</t>
  </si>
  <si>
    <t>数据加密与密钥管理</t>
  </si>
  <si>
    <t>数据加密存储</t>
  </si>
  <si>
    <t>支持归档数据在存储和传输过程中的加密保护，防止未授权读取和数据泄露。</t>
  </si>
  <si>
    <t>密钥管理</t>
  </si>
  <si>
    <t>支持加密密钥的创建、保管、更新、权限控制和操作审计。</t>
  </si>
  <si>
    <t>模块 5：档案检索、智能发现与业务利用</t>
  </si>
  <si>
    <t>QA/IT人员日常基础数据查阅</t>
  </si>
  <si>
    <t>基础档案检索</t>
  </si>
  <si>
    <t>关键词检索</t>
  </si>
  <si>
    <t>支持对归档记录标题、元数据、OCR文本进行关键词检索。</t>
  </si>
  <si>
    <t>按系统名称检索</t>
  </si>
  <si>
    <t>支持按来源系统名称筛选和检索对应归档数据。</t>
  </si>
  <si>
    <t>按业务时间检索</t>
  </si>
  <si>
    <t>支持按创建时间、修改时间、业务发生时间等时间维度检索。</t>
  </si>
  <si>
    <t>检索结果展示与预览</t>
  </si>
  <si>
    <t>检索结果列表展示</t>
  </si>
  <si>
    <t>以列表形式展示检索结果，支持结果分批查看、排序和关键字段展示。</t>
  </si>
  <si>
    <t>原始文件在线预览</t>
  </si>
  <si>
    <t>支持常见文档、图片及办公文件在线预览，无需下载即可查看内容。</t>
  </si>
  <si>
    <t>模块 6：合规管控、审计追踪与合规报表</t>
  </si>
  <si>
    <t>基础运维核查与简易审计调取</t>
  </si>
  <si>
    <t>用户操作审计追踪</t>
  </si>
  <si>
    <t>归档操作日志记录</t>
  </si>
  <si>
    <t>记录数据导入、上传、归档等操作，包含用户、时间、对象、结果。</t>
  </si>
  <si>
    <t>查询操作日志记录</t>
  </si>
  <si>
    <t>记录用户的检索、查看、预览行为，支持审计追溯。</t>
  </si>
  <si>
    <t>导出操作日志记录</t>
  </si>
  <si>
    <t>记录数据导出行为，包含导出范围、导出时间、导出人和下载IP。</t>
  </si>
  <si>
    <t>模块 8：系统全局治理、运维与监控</t>
  </si>
  <si>
    <t>用户与角色管理</t>
  </si>
  <si>
    <t>基础角色权限配置</t>
  </si>
  <si>
    <t>配置管理员、查询员、审计员等基础角色，并按角色统一分配菜单权限、数据范围、记录类型和操作权限。</t>
  </si>
  <si>
    <t>用户账号管理</t>
  </si>
  <si>
    <t>支持本地账号创建、启用/禁用、密码重置、账号有效期管理。</t>
  </si>
  <si>
    <t>企业用户统一身份认证与系统访问</t>
  </si>
  <si>
    <t>SSO 单点登录</t>
  </si>
  <si>
    <t>企业SSO集成</t>
  </si>
  <si>
    <t>对接企业统一身份认证体系，支持用户通过企业账号完成身份认证并登录RIMS，无需维护独立登录凭证。</t>
  </si>
  <si>
    <t>用户身份自动识别与关联</t>
  </si>
  <si>
    <t>根据企业统一身份信息识别用户，并与RIMS中的用户及角色信息建立关联，为后续权限控制提供身份基础。</t>
  </si>
  <si>
    <t>登录状态与异常访问控制</t>
  </si>
  <si>
    <t>对用户登录状态及认证异常进行基础控制，认证失效或账号不可用时限制系统访问。</t>
  </si>
  <si>
    <t>模块 2：实时数据接入与常态化数据治理</t>
  </si>
  <si>
    <t>多源异构数据接入与元数据标准化规整</t>
  </si>
  <si>
    <t>元数据标准与来源管理</t>
  </si>
  <si>
    <t>统一元数据模型</t>
  </si>
  <si>
    <t>建立统一元数据字段体系，明确字段定义、数据类型、取值规则和必填要求，包括来源系统、业务域、记录类型、创建时间、责任人、保留等级和密级等。</t>
  </si>
  <si>
    <t>来源系统信息绑定</t>
  </si>
  <si>
    <t>在记录接入和入库时引用统一源系统编码，并绑定退役项目、迁移批次等来源属性，支持按来源检索和统计。</t>
  </si>
  <si>
    <t>模块 3：记录归档与档案全生命周期管理</t>
  </si>
  <si>
    <t>归档记录定期删除与合规保留</t>
  </si>
  <si>
    <t>到期处置与Legal Hold管理</t>
  </si>
  <si>
    <t>保留期限到期自动删除</t>
  </si>
  <si>
    <t>根据预设保留策略，对到期归档记录执行自动删除或标记销毁。</t>
  </si>
  <si>
    <t>Legal Hold 冻结</t>
  </si>
  <si>
    <t>对涉诉、审计或合规调查中的记录设置Legal Hold，暂停删除和修改。</t>
  </si>
  <si>
    <t>确保归档数据可恢复</t>
  </si>
  <si>
    <t>数据备份与灾难恢复</t>
  </si>
  <si>
    <t>数据备份管理</t>
  </si>
  <si>
    <t>支持按照备份策略创建和维护归档数据副本，确保数据副本完整、可用并满足恢复需求。</t>
  </si>
  <si>
    <t>异地灾备</t>
  </si>
  <si>
    <t>支持将数据副本与主要运行环境隔离保存，保障区域性灾害或重大故障情况下的数据恢复。</t>
  </si>
  <si>
    <t>角色</t>
  </si>
  <si>
    <t>角色名称</t>
  </si>
  <si>
    <t>核心职责</t>
  </si>
  <si>
    <t>技能要求</t>
  </si>
  <si>
    <t>工作量占比</t>
  </si>
  <si>
    <t>人天（12 周）</t>
  </si>
  <si>
    <t>单价</t>
  </si>
  <si>
    <t>人力费用</t>
  </si>
  <si>
    <t>关键产出物</t>
  </si>
  <si>
    <t>备注</t>
  </si>
  <si>
    <t>负责人</t>
  </si>
  <si>
    <t>BA/测试/文档</t>
  </si>
  <si>
    <t>业务分析师 + 测试 + 文档（1 人·三职切换）</t>
  </si>
  <si>
    <t>需求：访谈 / SRS / 原型 / 优先级；测试：测试计划与用例 / 系统测试 / UAT 组织 / 缺陷管理；文档：SLC 全周期（需求规格 / 用户手册 / 操作手册 / 上线材料）；测试数据管理：CC（Caring Center）作为验证系统的测试数据准备与场景设计</t>
  </si>
  <si>
    <t>需求分析 / 业务流程建模 / 用户故事</t>
  </si>
  <si>
    <t>BRD、用户故事地图、验收标准、UAT 场景脚本、需求变更记录</t>
  </si>
  <si>
    <t>W1~W2 密集；之后 Sprint 级澄清与验收</t>
  </si>
  <si>
    <t>Mandy</t>
  </si>
  <si>
    <t>DEV-A</t>
  </si>
  <si>
    <t>开发 A：主架构 + 前端，兼后端（1 人）</t>
  </si>
  <si>
    <t>架构：总体架构 / Azure 资源对接验收 / UC 权限模型 / 技术决策；前端：React 配置化平台全部界面；兼后端：用户角色 / SSO / 审计等偏应用侧 API；CI/CD 流水线搭建</t>
  </si>
  <si>
    <t>Databricks / Azure 网络 / .NET 或 React / 系统设计</t>
  </si>
  <si>
    <t>架构文档、Azure 部署脚本、RBAC 权限矩阵与 API、UC 授权/掩码/行级隔离、冷热分层与生命周期策略、SERVE 物化与 Compaction、附件预览/JOIN 渲染/Retention 界面</t>
  </si>
  <si>
    <t>W1~W3 架构为主；W4 起开发为主</t>
  </si>
  <si>
    <t>Wade</t>
  </si>
  <si>
    <t>DEV-B</t>
  </si>
  <si>
    <t>开发 B：主后端 + 数据开发，兼前端（1 人）</t>
  </si>
  <si>
    <t>后端：元数据 / 附件 / 调度等服务 API；数据：SeaTunnel 批量导入与生成器 / 四层转换 / 完整性校验 / 增量与处置作业；兼前端：迁移任务/处置等偏数据操作的界面；CC 迁移演练与生产迁移主责</t>
  </si>
  <si>
    <t>Databricks/ .NET / React / SQL</t>
  </si>
  <si>
    <t>ETL 生成器、四层 SQL、销毁作业、对账脚本、性能报告</t>
  </si>
  <si>
    <t>核心开发，代码量最大</t>
  </si>
  <si>
    <t>DevB</t>
  </si>
  <si>
    <t>PM</t>
  </si>
  <si>
    <t>项目管理</t>
  </si>
  <si>
    <t>会议：约会Review
状态：进度管理
风险管理</t>
  </si>
  <si>
    <t>PMP</t>
  </si>
  <si>
    <t>项目管理文档
会议记录</t>
  </si>
  <si>
    <t>主要是track任务</t>
  </si>
  <si>
    <t>Mark</t>
  </si>
  <si>
    <t>合计</t>
  </si>
  <si>
    <t>需求+Spec</t>
  </si>
  <si>
    <t xml:space="preserve"> </t>
  </si>
  <si>
    <t>架构+设计</t>
  </si>
  <si>
    <t>编码</t>
  </si>
  <si>
    <t>测试</t>
  </si>
  <si>
    <t>交付+PM</t>
  </si>
  <si>
    <t>周次</t>
  </si>
  <si>
    <t>阶段目标</t>
  </si>
  <si>
    <t>主要工作内容（按功能模块）</t>
  </si>
  <si>
    <t>里程碑 / 交付物</t>
  </si>
  <si>
    <t>模块归属（A/B）</t>
  </si>
  <si>
    <t>退出条件</t>
  </si>
  <si>
    <t>需求与分析</t>
  </si>
  <si>
    <t>W1~W2</t>
  </si>
  <si>
    <t>需求基线冻结</t>
  </si>
  <si>
    <t>① 业务访谈 ② 功能 26 项逐条澄清 + P0/P1/P2 优先级 ③ 数据流图 + 归档范围/保留期矩阵 ④ SRS 编写与评审 ⑤ 核心页面原型 ⑥ 测试需求分析（含 CC 验证场景设计） ⑦ 工程骨架提前启动（W1）：React 骨架 / .NET 骨架 / CI 骨架（不等设计完成）</t>
  </si>
  <si>
    <t>★ M1（W2 末）：SRS 确认 + 需求基线冻结</t>
  </si>
  <si>
    <t>BA 主导；A/B：技术可行性意见</t>
  </si>
  <si>
    <t>SRS(Software Requirements Specification) 评审确定；优先级锁定</t>
  </si>
  <si>
    <t>设计</t>
  </si>
  <si>
    <t>W2~W3</t>
  </si>
  <si>
    <t>技术方案与模块接口定稿</t>
  </si>
  <si>
    <t>① 总体架构（湖仓分层/组件/部署）② 元数据库 ER + 35 表 DDL ③ 模块间接口定义（按功能模块划分，非前后端契约）④ 查询配置模型 ⑤ 迁移方案（SeaTunnel 生成器 + 四层）⑥ 权限模型（RBAC + UC）⑦ 测试计划评审</t>
  </si>
  <si>
    <t>★ M2（W3 末）：设计评审通过 + 模块接口</t>
  </si>
  <si>
    <t>A 主导架构与界面设计；B 主导 DB/迁移/服务设计</t>
  </si>
  <si>
    <t>设计评审通过；模块接口冻结</t>
  </si>
  <si>
    <t>开发一：地基</t>
  </si>
  <si>
    <t>W3~W5</t>
  </si>
  <si>
    <t>平台骨架 + 模块 1/8 端到端（样本数据）</t>
  </si>
  <si>
    <t>【A】CI/CD 全流水线 + React 骨架 + 登录/SSO + 用户角色管理（界面+API 一体） 【B】SeaTunnel 批量导入 + 迁移规则配置 + 任务管理 + 完整性校验（样本表验证）+ UC 初始化与资源验收 【QA】测试用例编写完成（26 项全覆盖）</t>
  </si>
  <si>
    <t>★ M3（W5 末）：样本数据端到端（导入→湖→检索页可查）</t>
  </si>
  <si>
    <t>A：模块 8 + 地基（W1 已启动）；B：模块 1 全链路；【数据】四层落地</t>
  </si>
  <si>
    <t>端到端演示通过；CI/CD 自动；用例 100%</t>
  </si>
  <si>
    <t>开发二：核心功能</t>
  </si>
  <si>
    <t>W6~W8</t>
  </si>
  <si>
    <t>模块 2/3/4/5/6 全功能开发（样本数据）</t>
  </si>
  <si>
    <t>【A·主】模块 5：检索/预览/导出（界面+查询代理）；模块 6：审计（埋点+查询界面）【A·协作】模块 2 元数据界面、模块 3 处置界面 【B·主】模块 2：元数据服务；模块 3：归档模型/到期处置/Legal Hold；模块 4：加密/密钥/备份【B·协作】模块 5 附件 SAS 【QA】滚动走查 + 手册初稿（随模块完成）</t>
  </si>
  <si>
    <t>★ M4（W8 末）：26 项功能编码完成 + 每模块走查签字</t>
  </si>
  <si>
    <t>A：模块 5/6/8 + 界面协作；B：模块 1/2/3/4</t>
  </si>
  <si>
    <t>编码 100%；走查全签字；无 P0</t>
  </si>
  <si>
    <t>开发三：集成与 CC 验证</t>
  </si>
  <si>
    <t>W9~W10</t>
  </si>
  <si>
    <t>系统集成 + CC 真实数据迁移演练</t>
  </si>
  <si>
    <t>① 全链路集成（登录→检索→预览→导出→审计）② CC（Caring Center）真实数据接入：1253 表扫描分类落地、600~800 有效表分批迁移演练、逐批对账 ③ 系统测试轮 1 + 缺陷修复 ④ 性能粗调 ⑤ 操作手册初稿</t>
  </si>
  <si>
    <t>★ M5（W10 末）：代码冻结 + Caring Center 迁移演练对账通过</t>
  </si>
  <si>
    <t>A：集成与前端缺陷；B：CC 迁移演练（关键路径）</t>
  </si>
  <si>
    <t>冒烟 100%；P0/P1 清零；CC 对账通过</t>
  </si>
  <si>
    <t>系统测试</t>
  </si>
  <si>
    <t>W11</t>
  </si>
  <si>
    <t>全量测试（以 CC 为验证系统）+ UAT</t>
  </si>
  <si>
    <t>① 系统测试全用例执行（功能/集成/数据一致性——用 CC 真实归档数据验证检索/预览/导出/处置/审计全场景）② 缺陷修复与回归 ③ UAT：业务方按 CC 场景验收（BA 主持）④ 手册定稿 ⑤ 生产部署准备</t>
  </si>
  <si>
    <t>★ M6（W11 末）：系统测试报告 + UAT 签字</t>
  </si>
  <si>
    <t>BA/QA 主导；A：发布包+部署预演；B：生产迁移预跑</t>
  </si>
  <si>
    <t>UAT 签字；缺陷关闭或书面接受</t>
  </si>
  <si>
    <t>部署上线</t>
  </si>
  <si>
    <t>W12</t>
  </si>
  <si>
    <t>单次 Release：CC 生产部署 + 上线</t>
  </si>
  <si>
    <t>① 生产部署（服务 + UC + 初始配置）
② CC 生产全量迁移（分批 + 对账）③ 上线验证（CC 核心场景：检索/预览/导出/审计）④ 一周值守 ⑤ 交付物归档</t>
  </si>
  <si>
    <t>★ M7（W12 末）：生产上线成功 → 项目交付完成</t>
  </si>
  <si>
    <t>A：应用部署与验证；B：CC 全量迁移与作业启动</t>
  </si>
  <si>
    <t>生产验证通过；业务确认 → 项目结束</t>
  </si>
  <si>
    <t>Week</t>
  </si>
  <si>
    <t>任务（来源：功能列表编号 / 数据处理）</t>
  </si>
  <si>
    <t>产出物 / 验收标准</t>
  </si>
  <si>
    <t>依赖/阻塞</t>
  </si>
  <si>
    <t>需求</t>
  </si>
  <si>
    <t>W1</t>
  </si>
  <si>
    <t>• 业务访谈 3 场（业务方×2 + 合规法务×1）</t>
  </si>
  <si>
    <t>SRS 初稿；需求追踪矩阵（功能编号↔需求）</t>
  </si>
  <si>
    <t>业务方访谈排期</t>
  </si>
  <si>
    <t>• 功能列表 26 项逐条澄清 + P0/P1/P2 优先级标定（产出带编号的需求追踪矩阵）</t>
  </si>
  <si>
    <t>• 🤖 SRS 初稿：数据流图 + 归档范围矩阵 + 保留期矩阵</t>
  </si>
  <si>
    <t>• 核心页面原型草图（检索/迁移任务/处置）</t>
  </si>
  <si>
    <t>DEV-A·架构前端为主</t>
  </si>
  <si>
    <t>• 【地基·提前】🤖 React 骨架 + 路由/布局/组件库（W1 即启动，不等设计完成）</t>
  </si>
  <si>
    <t>React 骨架可运行；CI 骨架出包</t>
  </si>
  <si>
    <t>平台 ACR</t>
  </si>
  <si>
    <t>• 【地基·提前】CI/CD 骨架（Azure DevOps：build+推镜像）</t>
  </si>
  <si>
    <t>• 架构预研（湖仓分层/组件选型）——为模块划分提供输入</t>
  </si>
  <si>
    <t>•  资源申请</t>
  </si>
  <si>
    <t>DEV-B·后端数据为主</t>
  </si>
  <si>
    <t>• 【地基·提前】🤖 .NET 后端骨架（Clean Architecture + EF Core）+ 本地 Docker Compose</t>
  </si>
  <si>
    <t>.NET 骨架可编译；数据模型草案</t>
  </si>
  <si>
    <t>平台受理</t>
  </si>
  <si>
    <t>• 【数据】目标数据模型预设计（湖仓四层 RAW→CURATED→LAKE→SERVE 的表结构草案）</t>
  </si>
  <si>
    <t>• 资源申请单提交平台团队（区域=境内）+ CC 只读账号申请（D1，用于 W9 起验证）</t>
  </si>
  <si>
    <t>【数据】 DEV-B</t>
  </si>
  <si>
    <t>• 【数据】源数据分析：以 CC 为样本的源库特征梳理（表结构/类型映射难点/脏数据模式）→ 26 项中数据类功能（F01/F02 系列）的输入</t>
  </si>
  <si>
    <t>源数据特征清单</t>
  </si>
  <si>
    <t>CC 只读账号</t>
  </si>
  <si>
    <t>W2</t>
  </si>
  <si>
    <t>• SRS 评审 → 定稿签字（需求基线冻结，追踪矩阵锁定）</t>
  </si>
  <si>
    <t>★ M1：SRS 签字</t>
  </si>
  <si>
    <t>业务方到场</t>
  </si>
  <si>
    <t>• 测试计划框架 + CC 验证场景清单</t>
  </si>
  <si>
    <t>• 【地基】登录页 + SSO 前端集成开发（F08-03 企业SSO集成的界面侧）</t>
  </si>
  <si>
    <t>登录页可用</t>
  </si>
  <si>
    <t>资源交付；Entra ID 配置</t>
  </si>
  <si>
    <t>• 平台资源验收（ADLS/SQL DB/Databricks/Key Vault 连通）</t>
  </si>
  <si>
    <t>• 【地基】元数据库建库脚本（35 表 DDL 草案先行）</t>
  </si>
  <si>
    <t>DDL 草案；分层设计细化</t>
  </si>
  <si>
    <t>• 【数据】湖仓分层设计细化：分区策略（sys_id+日期）/文件格式（Parquet+ZSTD）/存储账户划分（湖 vs 附件）</t>
  </si>
  <si>
    <t>W3</t>
  </si>
  <si>
    <t>• 设计符合性复核（设计 vs SRS 逐条，含 26 项编号对照）</t>
  </si>
  <si>
    <t>符合性记录；用例首批</t>
  </si>
  <si>
    <t>• 🤖 测试用例编写启动（F01/F08 系列用例）</t>
  </si>
  <si>
    <t>• 总体架构定稿（分层/组件/部署视图）</t>
  </si>
  <si>
    <t>★ M2：设计评审 + 模块接口冻结</t>
  </si>
  <si>
    <t>• 模块接口定义（按功能模块，明确 A/B 边界）</t>
  </si>
  <si>
    <t>• F05 检索的查询配置模型设计（元数据驱动动态渲染）+ UC 权限模型设计</t>
  </si>
  <si>
    <t>• 元数据库设计定稿（ER + 35 表）+ EF Core Migration</t>
  </si>
  <si>
    <t>DB/迁移/存储设计定稿</t>
  </si>
  <si>
    <t>• 【数据】F01 迁移方案定稿：SeaTunnel 配置生成器设计 + 四层转换规则（类型映射表/清洗规则/分区归约）</t>
  </si>
  <si>
    <t>• 【数据】F04 存储方案定稿：加密策略（SSE+CMK+字段级）/备份与灾备策略（PITR/异地副本）</t>
  </si>
  <si>
    <t>• 【数据】数据字典 v1：湖仓四层表结构 + 元数据库 35 表 + 附件索引结构（QA 文档的基础）</t>
  </si>
  <si>
    <t>数据字典 v1</t>
  </si>
  <si>
    <t>开发一</t>
  </si>
  <si>
    <t>W4</t>
  </si>
  <si>
    <t>• 🤖 测试用例编写（F05/F06 系列）</t>
  </si>
  <si>
    <t>用例 60%；样本数据就绪</t>
  </si>
  <si>
    <t>• 样本测试数据集准备（模拟源库表 + 附件样本——支撑 W4~W8 无 CC 开发）</t>
  </si>
  <si>
    <t>• 【F08-01/02】用户与角色管理：基础角色权限配置 + 用户账号管理（界面+API 一体，主）</t>
  </si>
  <si>
    <t>模块 8 五项功能可用（样本）</t>
  </si>
  <si>
    <t>Entra ID</t>
  </si>
  <si>
    <t>• 【F08-03】企业SSO集成 + F08-04 身份自动识别关联（登录链路完成）</t>
  </si>
  <si>
    <t>• 【F08-05】登录状态与异常访问控制（超时/锁定）</t>
  </si>
  <si>
    <t>• 【F01-01】结构化历史数据批量导入：SeaTunnel 分片/限速/断点（样本表验证）</t>
  </si>
  <si>
    <t>F01 前三项可跑（样本）</t>
  </si>
  <si>
    <t>• 【F01-02】非结构化文件及离线包批量导入（多源文件/离线介质）</t>
  </si>
  <si>
    <t>• 【F01-03】数据导入规则配置（源→标准字段映射）</t>
  </si>
  <si>
    <t>• 【数据】RAW 层落地：样本表入湖（分区写入/类型映射执行/原始保真校验）；【数据】附件落地：Blob 上传 + 属性保留</t>
  </si>
  <si>
    <t>RAW 层样本数据可查</t>
  </si>
  <si>
    <t>W5</t>
  </si>
  <si>
    <t>• 模块 1/8 功能走查（样本数据演示，对照 F01/F08 编号）</t>
  </si>
  <si>
    <t>走查签字；用例 100%</t>
  </si>
  <si>
    <t>• 🤖 测试用例编写完成（26 项全覆盖）+ 用例评审</t>
  </si>
  <si>
    <t>• 【F01-04/05·协作】迁移任务管理界面（调度/进度/校验结果展示）</t>
  </si>
  <si>
    <t>★ M3：端到端可查（样本）</t>
  </si>
  <si>
    <t>• 【F05-01/02/03·主】检索页开发启动：关键词/系统名称/业务时间三种检索（动态表单）</t>
  </si>
  <si>
    <t>• ★ M3 联调：登录→检索页→样本数据可查</t>
  </si>
  <si>
    <t>• 【F01-04】迁移前完整性基准记录 + F01-05 迁移后完整性比对（行数/校验和/SHA-256）</t>
  </si>
  <si>
    <t>模块 1 五项全完成；元数据 API 首批</t>
  </si>
  <si>
    <t>• 【F02-01/02】统一元数据模型 + 来源系统信息绑定（API）</t>
  </si>
  <si>
    <t>• 【数据】CURATED+LAKE 层落地：类型统一/清洗规则/生命周期分区（样本数据跑通四层）；【数据】SERVE 物化首版（热表+Z-Order）</t>
  </si>
  <si>
    <t>四层数据链路通（样本）</t>
  </si>
  <si>
    <t>开发二</t>
  </si>
  <si>
    <t>W6</t>
  </si>
  <si>
    <t>• 模块 5 走查（F05 五项对照）</t>
  </si>
  <si>
    <t>模块 5 走查签字</t>
  </si>
  <si>
    <t>• 🤖 用户手册初稿启动（按功能编号章节化）</t>
  </si>
  <si>
    <t>• 【F05-04·主】检索结果列表展示（分页/排序/大批量）</t>
  </si>
  <si>
    <t>F05 五项 + F06 三项可用</t>
  </si>
  <si>
    <t>• 【F05-05·主】原始文件在线预览（图片/附件 SAS 直连 + 常见文档）</t>
  </si>
  <si>
    <t>• 【F06-01/02/03·主】审计埋点：归档/查询/导出操作日志记录 + 审计查询界面</t>
  </si>
  <si>
    <t>• 【F02·主收口】元数据标准管理界面（B 兼前端，用 A 的组件规范）</t>
  </si>
  <si>
    <t>模块 2 完成；F04 前两项可用</t>
  </si>
  <si>
    <t>• 【F04-01】数据加密存储（SSE+CMK 落地 + PII 字段加密）</t>
  </si>
  <si>
    <t>• 【F04-02】密钥管理（Key Vault 创建/保管/更新/权限/操作审计）</t>
  </si>
  <si>
    <t>• 【数据】加密落地：样本 PII 字段密文落盘验证 + 密钥版本化；【数据】ADLS 生命周期分层规则配置（Hot/Cool 分层）</t>
  </si>
  <si>
    <t>加密与分层生效（样本）</t>
  </si>
  <si>
    <t>W7</t>
  </si>
  <si>
    <t>• 模块 3/4 走查（F03/F04 对照）</t>
  </si>
  <si>
    <t>模块 3/4 走查签字</t>
  </si>
  <si>
    <t>• 【F03-01/02·协作】保留策略配置界面 + Legal Hold 冻结/解除界面（含审批）</t>
  </si>
  <si>
    <t>处置界面可用</t>
  </si>
  <si>
    <t>• 性能粗调启动（前端渲染/懒加载）</t>
  </si>
  <si>
    <t>• 【F03-01·主】保留期限到期自动删除（处置引擎：扫描→DROP PARTITION→VACUUM）</t>
  </si>
  <si>
    <t>模块 3 两项 + F04-03 可用</t>
  </si>
  <si>
    <t>• 【F03-02·主】Legal Hold 冻结（Hold/Release + 豁免 + 留痕）</t>
  </si>
  <si>
    <t>• 【F04-03】数据备份管理（策略配置+副本创建）</t>
  </si>
  <si>
    <t>• 【数据】处置链路数据侧：生命周期分区设计验证（短保留期样本→到期→分区删除→物理清除）；【数据】对账台账生成（处置留痕数据）</t>
  </si>
  <si>
    <t>处置数据链路自测通过</t>
  </si>
  <si>
    <t>W8</t>
  </si>
  <si>
    <t>• 模块 6/8 走查 + 26 项功能完整性核对（追踪矩阵逐项打勾）</t>
  </si>
  <si>
    <t>★ M4：走查全部签字 + 追踪矩阵 26/26</t>
  </si>
  <si>
    <t>• 🤖 操作手册初稿</t>
  </si>
  <si>
    <t>• 【F05·主】导出优化（大数据量流式）+ 全链路前端走查（登录→检索→预览→导出→处置→审计）</t>
  </si>
  <si>
    <t>★ M4：A 侧完成</t>
  </si>
  <si>
    <t>• ★ M4：A 侧功能 100%</t>
  </si>
  <si>
    <t>• 【F04-04】异地灾备（副本隔离保存 + 恢复流程）</t>
  </si>
  <si>
    <t>★ M4：编码完成</t>
  </si>
  <si>
    <t>• 【数据】增量数据接入准备（在运系统冷数据周期接入的作业框架——为 CC 后续常态化做准备）</t>
  </si>
  <si>
    <t>• ★ M4：B 侧功能 100%</t>
  </si>
  <si>
    <t>开发三</t>
  </si>
  <si>
    <t>W9</t>
  </si>
  <si>
    <t>• UAT 脚本编写（以 CC 真实场景）</t>
  </si>
  <si>
    <t>UAT 脚本初稿；测试轮 1 启动</t>
  </si>
  <si>
    <t>• 系统测试轮 1 启动（26 项全用例，样本+CC 混合）</t>
  </si>
  <si>
    <t>• 全链路集成联调（CC 真实数据）</t>
  </si>
  <si>
    <t>全链路通（CC 数据）</t>
  </si>
  <si>
    <t>CC 数据可访问</t>
  </si>
  <si>
    <t>• 前端缺陷修复（轮 1）</t>
  </si>
  <si>
    <t>• CC 数据界面适配（字段类型/格式差异处理——F05 检索/预览在真实数据上的兼容）</t>
  </si>
  <si>
    <t>• CC 真实数据迁移演练：1253 表分类落地 → 600~800 有效表分批迁移（F01 全链路实战）</t>
  </si>
  <si>
    <t>CC 迁移演练启动</t>
  </si>
  <si>
    <t>CC 账号；数据量实测</t>
  </si>
  <si>
    <t>• 逐批对账 + 数据问题处理（F01-04/05 在真实数据上的验证）</t>
  </si>
  <si>
    <t>• 【数据】CC 数据实战处理：真实类型映射适配（SQL Server 特有类型）/脏数据清洗规则补充/大批量分区与文件优化（小文件合并）</t>
  </si>
  <si>
    <t>CC 数据处理经验清单</t>
  </si>
  <si>
    <t>W10</t>
  </si>
  <si>
    <t>• UAT 脚本定稿 + 排期</t>
  </si>
  <si>
    <t>UAT 脚本定稿</t>
  </si>
  <si>
    <t>业务方排期</t>
  </si>
  <si>
    <t>• 测试轮 1 回归 + 🤖 手册初稿评审</t>
  </si>
  <si>
    <t>• 缺陷修复收敛（前端 P0/P1 清零）</t>
  </si>
  <si>
    <t>前端清零；发布包就绪</t>
  </si>
  <si>
    <t>• 上线发布包（Helm 生产 values + Runbook）</t>
  </si>
  <si>
    <t>• CC 迁移演练完成 + 对账报告（行数/校验和 100%）</t>
  </si>
  <si>
    <t>★ M5：代码冻结 + CC 对账通过</t>
  </si>
  <si>
    <t>• 缺陷修复收敛（后端/数据 P0/P1 清零）</t>
  </si>
  <si>
    <t>• 【数据】CC 全量对账报告：分层统计（RAW/CURATED/LAKE/SERVE 各层行数与字节）+ 差异处理记录</t>
  </si>
  <si>
    <t>全量对账报告</t>
  </si>
  <si>
    <t>• 系统测试全量执行（26 项编号逐项，CC 真实数据场景）</t>
  </si>
  <si>
    <t>★ M6：测试报告 + UAT 签字</t>
  </si>
  <si>
    <t>业务方 UAT 时间</t>
  </si>
  <si>
    <t>• UAT 组织与主持 → 签字；🤖 手册定稿</t>
  </si>
  <si>
    <t>• 缺陷快速修复（前端/应用）</t>
  </si>
  <si>
    <t>部署预演通过</t>
  </si>
  <si>
    <t>• 生产部署预演（Staging 完整 + 回退预案）</t>
  </si>
  <si>
    <t>• 缺陷快速修复（数据/服务）</t>
  </si>
  <si>
    <t>迁移预跑完成</t>
  </si>
  <si>
    <t>生产窗口</t>
  </si>
  <si>
    <t>• CC 生产迁移预跑 + Runbook 定稿</t>
  </si>
  <si>
    <t>部署</t>
  </si>
  <si>
    <t>• 上线验证（CC 核心场景业务确认）</t>
  </si>
  <si>
    <t>业务确认可用</t>
  </si>
  <si>
    <t>• 上线 Checklist；项目交付确认</t>
  </si>
  <si>
    <t>• 生产部署执行（服务+前端+UC）</t>
  </si>
  <si>
    <t>★ M7：生产上线</t>
  </si>
  <si>
    <t>• 上线验证（冒烟+界面核对）；值守前端侧；交付物归档</t>
  </si>
  <si>
    <t>• CC 生产全量迁移（分批+终版对账）</t>
  </si>
  <si>
    <t>CC 生产迁移对账通过</t>
  </si>
  <si>
    <t>• 生产作业启动（增量/处置）；值守数据侧；交付物归档</t>
  </si>
  <si>
    <t>• 【数据】生产数据就绪核查：四层数据完备性/元数据库初始化/附件索引重建核对/处置作业首次执行验证</t>
  </si>
  <si>
    <t>生产数据核查报告</t>
  </si>
  <si>
    <t>风险类别</t>
  </si>
  <si>
    <t>风险描述</t>
  </si>
  <si>
    <t>风险影响</t>
  </si>
  <si>
    <t>可接受原因</t>
  </si>
  <si>
    <t>AI代码评审与维护依赖</t>
  </si>
  <si>
    <t>代码生成、代码评审和后续维护大量依赖AI工具完成。</t>
  </si>
  <si>
    <t>开发人员对部分实现细节掌握下降；维护效率可能受AI工具可用性影响；不同AI建议存在差异。</t>
  </si>
  <si>
    <t>最终代码仍需人工审核；AI作为辅助工具；可通过规范和知识沉淀控制风险。</t>
  </si>
  <si>
    <t>AI生成文档质量</t>
  </si>
  <si>
    <t>需求、设计、接口及运维文档主要由AI生成。</t>
  </si>
  <si>
    <t>文档存在机器风格；业务背景描述可能不够准确；正式发布前需人工润色。</t>
  </si>
  <si>
    <t>显著提升文档产出效率；技术内容可快速形成；必要时投入少量effort调整为人工风格。</t>
  </si>
  <si>
    <t>AI辅助测试覆盖</t>
  </si>
  <si>
    <t>测试用例设计、自动化脚本编写和缺陷分析依赖AI辅助。</t>
  </si>
  <si>
    <t>常规场景覆盖较好，但复杂业务场景、边界条件和隐含规则可能覆盖不足。</t>
  </si>
  <si>
    <t>测试人员可补充关键场景；结合人工测试和UAT可有效降低遗漏风险。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</si>
</sst>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70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9"/>
      <color rgb="FFFFFFFF"/>
      <name val="Microsoft YaHei"/>
      <charset val="134"/>
    </font>
    <font>
      <b/>
      <sz val="8"/>
      <color rgb="FF1D4ED8"/>
      <name val="Microsoft YaHei"/>
      <charset val="134"/>
    </font>
    <font>
      <b/>
      <sz val="9"/>
      <color rgb="FF0F172A"/>
      <name val="Microsoft YaHei"/>
      <charset val="134"/>
    </font>
    <font>
      <b/>
      <sz val="8"/>
      <color rgb="FFB45309"/>
      <name val="Microsoft YaHei"/>
      <charset val="134"/>
    </font>
    <font>
      <sz val="8"/>
      <color rgb="FF0F172A"/>
      <name val="Microsoft YaHei"/>
      <charset val="134"/>
    </font>
    <font>
      <sz val="8"/>
      <color rgb="FF1E3A8A"/>
      <name val="Microsoft YaHei"/>
      <charset val="134"/>
    </font>
    <font>
      <sz val="8"/>
      <color rgb="FFB45309"/>
      <name val="Microsoft YaHei"/>
      <charset val="134"/>
    </font>
    <font>
      <sz val="9"/>
      <color rgb="FF0F172A"/>
      <name val="Microsoft YaHei"/>
      <charset val="134"/>
    </font>
    <font>
      <b/>
      <sz val="8"/>
      <color rgb="FF7C3AED"/>
      <name val="Microsoft YaHei"/>
      <charset val="134"/>
    </font>
    <font>
      <b/>
      <sz val="8"/>
      <color rgb="FF047857"/>
      <name val="Microsoft YaHei"/>
      <charset val="134"/>
    </font>
    <font>
      <b/>
      <sz val="8"/>
      <color rgb="FF0369A1"/>
      <name val="Microsoft YaHei"/>
      <charset val="134"/>
    </font>
    <font>
      <b/>
      <sz val="8"/>
      <color rgb="FFCA8A04"/>
      <name val="Microsoft YaHei"/>
      <charset val="134"/>
    </font>
    <font>
      <b/>
      <sz val="8"/>
      <color rgb="FF059669"/>
      <name val="Microsoft YaHei"/>
      <charset val="134"/>
    </font>
    <font>
      <b/>
      <sz val="8"/>
      <color rgb="FF0284C7"/>
      <name val="Microsoft YaHei"/>
      <charset val="134"/>
    </font>
    <font>
      <b/>
      <sz val="8"/>
      <color rgb="FFD97706"/>
      <name val="Microsoft YaHei"/>
      <charset val="134"/>
    </font>
    <font>
      <b/>
      <sz val="8"/>
      <color rgb="FFDC2626"/>
      <name val="Microsoft YaHei"/>
      <charset val="134"/>
    </font>
    <font>
      <b/>
      <sz val="9"/>
      <color rgb="FF1D4ED8"/>
      <name val="Microsoft YaHei"/>
      <charset val="134"/>
    </font>
    <font>
      <sz val="9"/>
      <color rgb="FF475569"/>
      <name val="Microsoft YaHei"/>
      <charset val="134"/>
    </font>
    <font>
      <sz val="8"/>
      <color rgb="FF475569"/>
      <name val="Microsoft YaHei"/>
      <charset val="134"/>
    </font>
    <font>
      <sz val="8"/>
      <color rgb="FF64748B"/>
      <name val="Microsoft YaHei"/>
      <charset val="134"/>
    </font>
    <font>
      <b/>
      <sz val="9"/>
      <color rgb="FFCA8A04"/>
      <name val="Microsoft YaHei"/>
      <charset val="134"/>
    </font>
    <font>
      <b/>
      <sz val="9"/>
      <color rgb="FF059669"/>
      <name val="Microsoft YaHei"/>
      <charset val="134"/>
    </font>
    <font>
      <b/>
      <sz val="9"/>
      <color rgb="FF0284C7"/>
      <name val="Microsoft YaHei"/>
      <charset val="134"/>
    </font>
    <font>
      <b/>
      <sz val="9"/>
      <color rgb="FFD97706"/>
      <name val="Microsoft YaHei"/>
      <charset val="134"/>
    </font>
    <font>
      <b/>
      <sz val="9"/>
      <color rgb="FFDC2626"/>
      <name val="Microsoft YaHei"/>
      <charset val="134"/>
    </font>
    <font>
      <b/>
      <sz val="9"/>
      <color rgb="FF7C3AED"/>
      <name val="Microsoft YaHei"/>
      <charset val="134"/>
    </font>
    <font>
      <b/>
      <sz val="14"/>
      <color rgb="FF0F172A"/>
      <name val="Microsoft YaHei"/>
      <charset val="134"/>
    </font>
    <font>
      <b/>
      <sz val="10"/>
      <color rgb="FFFFFFFF"/>
      <name val="Microsoft YaHei"/>
      <charset val="134"/>
    </font>
    <font>
      <sz val="10"/>
      <color theme="1"/>
      <name val="宋体"/>
      <charset val="134"/>
      <scheme val="minor"/>
    </font>
    <font>
      <b/>
      <sz val="10"/>
      <color rgb="FF475569"/>
      <name val="Microsoft YaHei"/>
      <charset val="134"/>
    </font>
    <font>
      <b/>
      <sz val="10"/>
      <color rgb="FF0F172A"/>
      <name val="Microsoft YaHei"/>
      <charset val="134"/>
    </font>
    <font>
      <sz val="10"/>
      <color theme="1"/>
      <name val="Microsoft YaHei"/>
      <charset val="134"/>
    </font>
    <font>
      <sz val="10"/>
      <color rgb="FF1E3A8A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59669"/>
      <name val="Microsoft YaHei"/>
      <charset val="134"/>
    </font>
    <font>
      <b/>
      <sz val="10"/>
      <color rgb="FFB45309"/>
      <name val="Microsoft YaHei"/>
      <charset val="134"/>
    </font>
    <font>
      <b/>
      <sz val="9"/>
      <color rgb="FFB45309"/>
      <name val="Microsoft YaHei"/>
      <charset val="134"/>
    </font>
    <font>
      <b/>
      <sz val="8"/>
      <color rgb="FF0F172A"/>
      <name val="Microsoft YaHei"/>
      <charset val="134"/>
    </font>
    <font>
      <sz val="10"/>
      <color rgb="FF475569"/>
      <name val="Microsoft YaHei"/>
      <charset val="134"/>
    </font>
    <font>
      <b/>
      <sz val="10"/>
      <color rgb="FFFF0000"/>
      <name val="Microsoft YaHei"/>
      <charset val="134"/>
    </font>
    <font>
      <sz val="10"/>
      <color rgb="FF64748B"/>
      <name val="Microsoft YaHei"/>
      <charset val="134"/>
    </font>
    <font>
      <b/>
      <sz val="9"/>
      <color rgb="FF047857"/>
      <name val="Microsoft YaHei"/>
      <charset val="134"/>
    </font>
    <font>
      <b/>
      <sz val="9"/>
      <color rgb="FF1E3A8A"/>
      <name val="Microsoft YaHei"/>
      <charset val="134"/>
    </font>
    <font>
      <b/>
      <sz val="9"/>
      <color rgb="FF000000"/>
      <name val="Microsoft YaHei"/>
      <charset val="134"/>
    </font>
    <font>
      <sz val="9"/>
      <color rgb="FF1F2937"/>
      <name val="微软雅黑"/>
      <charset val="134"/>
    </font>
    <font>
      <b/>
      <sz val="11"/>
      <color rgb="FFFFFFFF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D9E8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7ED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7" fillId="0" borderId="8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0" borderId="10" applyNumberFormat="0" applyAlignment="0" applyProtection="0">
      <alignment vertical="center"/>
    </xf>
    <xf numFmtId="0" fontId="60" fillId="21" borderId="11" applyNumberFormat="0" applyAlignment="0" applyProtection="0">
      <alignment vertical="center"/>
    </xf>
    <xf numFmtId="0" fontId="61" fillId="21" borderId="10" applyNumberFormat="0" applyAlignment="0" applyProtection="0">
      <alignment vertical="center"/>
    </xf>
    <xf numFmtId="0" fontId="62" fillId="22" borderId="12" applyNumberFormat="0" applyAlignment="0" applyProtection="0">
      <alignment vertical="center"/>
    </xf>
    <xf numFmtId="0" fontId="63" fillId="0" borderId="13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/>
  </cellStyleXfs>
  <cellXfs count="75"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0" borderId="1" xfId="0" applyFont="1" applyBorder="1"/>
    <xf numFmtId="0" fontId="3" fillId="3" borderId="2" xfId="50" applyFont="1" applyFill="1" applyBorder="1" applyAlignment="1">
      <alignment horizontal="center" vertical="center" wrapText="1"/>
    </xf>
    <xf numFmtId="0" fontId="4" fillId="4" borderId="1" xfId="50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 wrapText="1"/>
    </xf>
    <xf numFmtId="0" fontId="6" fillId="5" borderId="1" xfId="50" applyFont="1" applyFill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8" fillId="0" borderId="1" xfId="50" applyFont="1" applyBorder="1" applyAlignment="1">
      <alignment horizontal="left" vertical="center" wrapText="1"/>
    </xf>
    <xf numFmtId="0" fontId="9" fillId="0" borderId="1" xfId="50" applyFont="1" applyBorder="1" applyAlignment="1">
      <alignment horizontal="left" vertical="center" wrapText="1"/>
    </xf>
    <xf numFmtId="0" fontId="10" fillId="0" borderId="1" xfId="50" applyFont="1" applyBorder="1" applyAlignment="1">
      <alignment horizontal="center" vertical="center" wrapText="1"/>
    </xf>
    <xf numFmtId="0" fontId="11" fillId="6" borderId="1" xfId="50" applyFont="1" applyFill="1" applyBorder="1" applyAlignment="1">
      <alignment horizontal="center" vertical="center" wrapText="1"/>
    </xf>
    <xf numFmtId="0" fontId="12" fillId="7" borderId="1" xfId="50" applyFont="1" applyFill="1" applyBorder="1" applyAlignment="1">
      <alignment horizontal="center" vertical="center" wrapText="1"/>
    </xf>
    <xf numFmtId="0" fontId="13" fillId="8" borderId="1" xfId="50" applyFont="1" applyFill="1" applyBorder="1" applyAlignment="1">
      <alignment horizontal="center" vertical="center" wrapText="1"/>
    </xf>
    <xf numFmtId="0" fontId="14" fillId="9" borderId="1" xfId="50" applyFont="1" applyFill="1" applyBorder="1" applyAlignment="1">
      <alignment horizontal="center" vertical="center" wrapText="1"/>
    </xf>
    <xf numFmtId="0" fontId="15" fillId="10" borderId="1" xfId="50" applyFont="1" applyFill="1" applyBorder="1" applyAlignment="1">
      <alignment horizontal="center" vertical="center" wrapText="1"/>
    </xf>
    <xf numFmtId="0" fontId="16" fillId="8" borderId="1" xfId="50" applyFont="1" applyFill="1" applyBorder="1" applyAlignment="1">
      <alignment horizontal="center" vertical="center" wrapText="1"/>
    </xf>
    <xf numFmtId="0" fontId="17" fillId="5" borderId="1" xfId="50" applyFont="1" applyFill="1" applyBorder="1" applyAlignment="1">
      <alignment horizontal="center" vertical="center" wrapText="1"/>
    </xf>
    <xf numFmtId="0" fontId="18" fillId="11" borderId="1" xfId="50" applyFont="1" applyFill="1" applyBorder="1" applyAlignment="1">
      <alignment horizontal="center" vertical="center" wrapText="1"/>
    </xf>
    <xf numFmtId="0" fontId="11" fillId="12" borderId="1" xfId="5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/>
    </xf>
    <xf numFmtId="0" fontId="30" fillId="3" borderId="1" xfId="0" applyFont="1" applyFill="1" applyBorder="1" applyAlignment="1">
      <alignment horizontal="center" vertical="center" wrapText="1"/>
    </xf>
    <xf numFmtId="0" fontId="31" fillId="0" borderId="0" xfId="0" applyFont="1"/>
    <xf numFmtId="0" fontId="32" fillId="13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38" fillId="14" borderId="1" xfId="0" applyFont="1" applyFill="1" applyBorder="1" applyAlignment="1">
      <alignment horizontal="left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10" fontId="41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5" fontId="33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 wrapText="1"/>
    </xf>
    <xf numFmtId="0" fontId="45" fillId="18" borderId="5" xfId="0" applyFont="1" applyFill="1" applyBorder="1" applyAlignment="1">
      <alignment horizontal="center" vertical="center" wrapText="1"/>
    </xf>
    <xf numFmtId="0" fontId="45" fillId="18" borderId="6" xfId="0" applyFont="1" applyFill="1" applyBorder="1" applyAlignment="1">
      <alignment horizontal="left" vertical="center" wrapText="1"/>
    </xf>
    <xf numFmtId="0" fontId="45" fillId="18" borderId="6" xfId="0" applyFont="1" applyFill="1" applyBorder="1" applyAlignment="1">
      <alignment horizontal="center" vertical="center" wrapText="1"/>
    </xf>
    <xf numFmtId="0" fontId="46" fillId="18" borderId="6" xfId="0" applyFont="1" applyFill="1" applyBorder="1" applyAlignment="1">
      <alignment horizontal="center" vertical="center" wrapText="1"/>
    </xf>
    <xf numFmtId="0" fontId="46" fillId="18" borderId="6" xfId="0" applyFont="1" applyFill="1" applyBorder="1" applyAlignment="1">
      <alignment horizontal="left" vertical="center" wrapText="1"/>
    </xf>
    <xf numFmtId="5" fontId="46" fillId="18" borderId="6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0" fillId="0" borderId="0" xfId="0" applyFont="1"/>
    <xf numFmtId="0" fontId="47" fillId="0" borderId="1" xfId="0" applyFont="1" applyBorder="1" applyAlignment="1">
      <alignment horizontal="left" vertical="center" readingOrder="1"/>
    </xf>
    <xf numFmtId="0" fontId="47" fillId="0" borderId="1" xfId="0" applyFont="1" applyBorder="1"/>
    <xf numFmtId="0" fontId="0" fillId="0" borderId="0" xfId="0" applyAlignment="1">
      <alignment horizontal="left"/>
    </xf>
    <xf numFmtId="0" fontId="48" fillId="3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vertical="center" wrapText="1"/>
    </xf>
    <xf numFmtId="0" fontId="50" fillId="0" borderId="1" xfId="0" applyFon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3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1"/>
  <sheetViews>
    <sheetView workbookViewId="0">
      <selection activeCell="A1" sqref="A1:L1"/>
    </sheetView>
  </sheetViews>
  <sheetFormatPr defaultColWidth="9" defaultRowHeight="16.8"/>
  <cols>
    <col min="1" max="1" width="12" customWidth="1"/>
    <col min="2" max="2" width="33.9038461538462" customWidth="1"/>
    <col min="3" max="3" width="50.8173076923077" customWidth="1"/>
    <col min="4" max="4" width="9.81730769230769" customWidth="1"/>
    <col min="5" max="5" width="64.5384615384615" customWidth="1"/>
    <col min="6" max="6" width="9.90384615384615" customWidth="1"/>
    <col min="7" max="7" width="27.8173076923077" customWidth="1"/>
    <col min="8" max="8" width="49.1826923076923" customWidth="1"/>
    <col min="9" max="9" width="28.2692307692308" customWidth="1"/>
  </cols>
  <sheetData>
    <row r="1" ht="19.2" spans="1:1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5"/>
      <c r="K2" s="35"/>
      <c r="L2" s="35"/>
    </row>
    <row r="3" ht="61" customHeight="1" spans="1:12">
      <c r="A3" s="36" t="s">
        <v>10</v>
      </c>
      <c r="B3" s="37" t="s">
        <v>11</v>
      </c>
      <c r="C3" s="38" t="s">
        <v>12</v>
      </c>
      <c r="D3" s="39" t="s">
        <v>13</v>
      </c>
      <c r="E3" s="38" t="s">
        <v>14</v>
      </c>
      <c r="F3" s="40" t="s">
        <v>15</v>
      </c>
      <c r="G3" s="41" t="s">
        <v>16</v>
      </c>
      <c r="H3" s="42" t="s">
        <v>17</v>
      </c>
      <c r="I3" s="38" t="s">
        <v>18</v>
      </c>
      <c r="J3" s="35"/>
      <c r="K3" s="35"/>
      <c r="L3" s="35"/>
    </row>
    <row r="4" ht="61" customHeight="1" spans="1:12">
      <c r="A4" s="43" t="s">
        <v>19</v>
      </c>
      <c r="B4" s="37" t="s">
        <v>20</v>
      </c>
      <c r="C4" s="38" t="s">
        <v>21</v>
      </c>
      <c r="D4" s="39" t="s">
        <v>22</v>
      </c>
      <c r="E4" s="38" t="s">
        <v>23</v>
      </c>
      <c r="F4" s="40" t="s">
        <v>24</v>
      </c>
      <c r="G4" s="41" t="s">
        <v>25</v>
      </c>
      <c r="H4" s="42" t="s">
        <v>26</v>
      </c>
      <c r="I4" s="38" t="s">
        <v>27</v>
      </c>
      <c r="J4" s="35"/>
      <c r="K4" s="35"/>
      <c r="L4" s="35"/>
    </row>
    <row r="5" ht="61" customHeight="1" spans="1:12">
      <c r="A5" s="43" t="s">
        <v>19</v>
      </c>
      <c r="B5" s="37" t="s">
        <v>28</v>
      </c>
      <c r="C5" s="38" t="s">
        <v>29</v>
      </c>
      <c r="D5" s="39" t="s">
        <v>30</v>
      </c>
      <c r="E5" s="38" t="s">
        <v>31</v>
      </c>
      <c r="F5" s="40" t="s">
        <v>15</v>
      </c>
      <c r="G5" s="41" t="s">
        <v>32</v>
      </c>
      <c r="H5" s="42" t="s">
        <v>33</v>
      </c>
      <c r="I5" s="38" t="s">
        <v>34</v>
      </c>
      <c r="J5" s="35"/>
      <c r="K5" s="35"/>
      <c r="L5" s="35"/>
    </row>
    <row r="6" ht="61" customHeight="1" spans="1:12">
      <c r="A6" s="43" t="s">
        <v>19</v>
      </c>
      <c r="B6" s="37" t="s">
        <v>35</v>
      </c>
      <c r="C6" s="38" t="s">
        <v>36</v>
      </c>
      <c r="D6" s="39" t="s">
        <v>30</v>
      </c>
      <c r="E6" s="38" t="s">
        <v>37</v>
      </c>
      <c r="F6" s="40" t="s">
        <v>15</v>
      </c>
      <c r="G6" s="41" t="s">
        <v>38</v>
      </c>
      <c r="H6" s="42" t="s">
        <v>39</v>
      </c>
      <c r="I6" s="38" t="s">
        <v>40</v>
      </c>
      <c r="J6" s="35"/>
      <c r="K6" s="35"/>
      <c r="L6" s="35"/>
    </row>
    <row r="7" ht="61" customHeight="1" spans="1:12">
      <c r="A7" s="44" t="s">
        <v>41</v>
      </c>
      <c r="B7" s="37" t="s">
        <v>42</v>
      </c>
      <c r="C7" s="38" t="s">
        <v>43</v>
      </c>
      <c r="D7" s="39" t="s">
        <v>44</v>
      </c>
      <c r="E7" s="38" t="s">
        <v>45</v>
      </c>
      <c r="F7" s="40" t="s">
        <v>15</v>
      </c>
      <c r="G7" s="41" t="s">
        <v>46</v>
      </c>
      <c r="H7" s="42" t="s">
        <v>47</v>
      </c>
      <c r="I7" s="38" t="s">
        <v>48</v>
      </c>
      <c r="J7" s="35"/>
      <c r="K7" s="35"/>
      <c r="L7" s="35"/>
    </row>
    <row r="8" ht="61" customHeight="1" spans="1:12">
      <c r="A8" s="44" t="s">
        <v>41</v>
      </c>
      <c r="B8" s="37" t="s">
        <v>49</v>
      </c>
      <c r="C8" s="38" t="s">
        <v>50</v>
      </c>
      <c r="D8" s="39" t="s">
        <v>51</v>
      </c>
      <c r="E8" s="38" t="s">
        <v>52</v>
      </c>
      <c r="F8" s="40" t="s">
        <v>53</v>
      </c>
      <c r="G8" s="41" t="s">
        <v>54</v>
      </c>
      <c r="H8" s="42" t="s">
        <v>55</v>
      </c>
      <c r="I8" s="38" t="s">
        <v>56</v>
      </c>
      <c r="J8" s="35"/>
      <c r="K8" s="35"/>
      <c r="L8" s="35"/>
    </row>
    <row r="9" ht="61" customHeight="1" spans="1:12">
      <c r="A9" s="44" t="s">
        <v>41</v>
      </c>
      <c r="B9" s="37" t="s">
        <v>57</v>
      </c>
      <c r="C9" s="38" t="s">
        <v>58</v>
      </c>
      <c r="D9" s="39" t="s">
        <v>59</v>
      </c>
      <c r="E9" s="38" t="s">
        <v>60</v>
      </c>
      <c r="F9" s="40" t="s">
        <v>15</v>
      </c>
      <c r="G9" s="41" t="s">
        <v>61</v>
      </c>
      <c r="H9" s="42" t="s">
        <v>62</v>
      </c>
      <c r="I9" s="38" t="s">
        <v>63</v>
      </c>
      <c r="J9" s="35"/>
      <c r="K9" s="35"/>
      <c r="L9" s="35"/>
    </row>
    <row r="10" ht="61" customHeight="1" spans="1:12">
      <c r="A10" s="45" t="s">
        <v>64</v>
      </c>
      <c r="B10" s="37" t="s">
        <v>65</v>
      </c>
      <c r="C10" s="38" t="s">
        <v>66</v>
      </c>
      <c r="D10" s="39" t="s">
        <v>67</v>
      </c>
      <c r="E10" s="38" t="s">
        <v>68</v>
      </c>
      <c r="F10" s="40" t="s">
        <v>15</v>
      </c>
      <c r="G10" s="41" t="s">
        <v>69</v>
      </c>
      <c r="H10" s="42" t="s">
        <v>70</v>
      </c>
      <c r="I10" s="38" t="s">
        <v>71</v>
      </c>
      <c r="J10" s="35"/>
      <c r="K10" s="35"/>
      <c r="L10" s="35"/>
    </row>
    <row r="11" ht="61" customHeight="1" spans="1:12">
      <c r="A11" s="45" t="s">
        <v>64</v>
      </c>
      <c r="B11" s="37" t="s">
        <v>72</v>
      </c>
      <c r="C11" s="38" t="s">
        <v>73</v>
      </c>
      <c r="D11" s="39" t="s">
        <v>74</v>
      </c>
      <c r="E11" s="38" t="s">
        <v>75</v>
      </c>
      <c r="F11" s="40" t="s">
        <v>15</v>
      </c>
      <c r="G11" s="41" t="s">
        <v>76</v>
      </c>
      <c r="H11" s="42" t="s">
        <v>77</v>
      </c>
      <c r="I11" s="38" t="s">
        <v>78</v>
      </c>
      <c r="J11" s="35"/>
      <c r="K11" s="35"/>
      <c r="L11" s="35"/>
    </row>
  </sheetData>
  <mergeCells count="1">
    <mergeCell ref="A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0499893"/>
  </sheetPr>
  <dimension ref="A1:F28"/>
  <sheetViews>
    <sheetView workbookViewId="0">
      <selection activeCell="C10" sqref="C10"/>
    </sheetView>
  </sheetViews>
  <sheetFormatPr defaultColWidth="9" defaultRowHeight="16.8" outlineLevelCol="5"/>
  <cols>
    <col min="1" max="1" width="23.1826923076923" customWidth="1"/>
    <col min="2" max="2" width="32.3653846153846" customWidth="1"/>
    <col min="3" max="3" width="31.6346153846154" customWidth="1"/>
    <col min="4" max="4" width="25.4519230769231" customWidth="1"/>
    <col min="5" max="5" width="29.2692307692308" customWidth="1"/>
    <col min="6" max="6" width="85.4519230769231" customWidth="1"/>
  </cols>
  <sheetData>
    <row r="1" ht="17" spans="1:6">
      <c r="A1" s="72" t="s">
        <v>79</v>
      </c>
      <c r="B1" s="72" t="s">
        <v>80</v>
      </c>
      <c r="C1" s="72" t="s">
        <v>81</v>
      </c>
      <c r="D1" s="72" t="s">
        <v>82</v>
      </c>
      <c r="E1" s="72" t="s">
        <v>83</v>
      </c>
      <c r="F1" s="72" t="s">
        <v>84</v>
      </c>
    </row>
    <row r="2" ht="28" customHeight="1" spans="1:6">
      <c r="A2" s="73" t="s">
        <v>85</v>
      </c>
      <c r="B2" s="73" t="s">
        <v>86</v>
      </c>
      <c r="C2" s="73" t="s">
        <v>87</v>
      </c>
      <c r="D2" s="73" t="s">
        <v>88</v>
      </c>
      <c r="E2" s="74" t="s">
        <v>89</v>
      </c>
      <c r="F2" s="74" t="s">
        <v>90</v>
      </c>
    </row>
    <row r="3" ht="28" customHeight="1" spans="1:6">
      <c r="A3" s="73" t="s">
        <v>85</v>
      </c>
      <c r="B3" s="73" t="s">
        <v>86</v>
      </c>
      <c r="C3" s="73" t="s">
        <v>87</v>
      </c>
      <c r="D3" s="73" t="s">
        <v>88</v>
      </c>
      <c r="E3" s="74" t="s">
        <v>91</v>
      </c>
      <c r="F3" s="74" t="s">
        <v>92</v>
      </c>
    </row>
    <row r="4" ht="28" customHeight="1" spans="1:6">
      <c r="A4" s="73" t="s">
        <v>85</v>
      </c>
      <c r="B4" s="73" t="s">
        <v>86</v>
      </c>
      <c r="C4" s="73" t="s">
        <v>87</v>
      </c>
      <c r="D4" s="73" t="s">
        <v>93</v>
      </c>
      <c r="E4" s="74" t="s">
        <v>94</v>
      </c>
      <c r="F4" s="74" t="s">
        <v>95</v>
      </c>
    </row>
    <row r="5" ht="28" customHeight="1" spans="1:6">
      <c r="A5" s="73" t="s">
        <v>85</v>
      </c>
      <c r="B5" s="73" t="s">
        <v>86</v>
      </c>
      <c r="C5" s="73" t="s">
        <v>96</v>
      </c>
      <c r="D5" s="73" t="s">
        <v>97</v>
      </c>
      <c r="E5" s="74" t="s">
        <v>98</v>
      </c>
      <c r="F5" s="74" t="s">
        <v>99</v>
      </c>
    </row>
    <row r="6" ht="28" customHeight="1" spans="1:6">
      <c r="A6" s="73" t="s">
        <v>85</v>
      </c>
      <c r="B6" s="73" t="s">
        <v>86</v>
      </c>
      <c r="C6" s="73" t="s">
        <v>96</v>
      </c>
      <c r="D6" s="73" t="s">
        <v>97</v>
      </c>
      <c r="E6" s="74" t="s">
        <v>100</v>
      </c>
      <c r="F6" s="74" t="s">
        <v>101</v>
      </c>
    </row>
    <row r="7" ht="28" customHeight="1" spans="1:6">
      <c r="A7" s="73" t="s">
        <v>85</v>
      </c>
      <c r="B7" s="73" t="s">
        <v>102</v>
      </c>
      <c r="C7" s="73" t="s">
        <v>103</v>
      </c>
      <c r="D7" s="73" t="s">
        <v>104</v>
      </c>
      <c r="E7" s="74" t="s">
        <v>105</v>
      </c>
      <c r="F7" s="74" t="s">
        <v>106</v>
      </c>
    </row>
    <row r="8" ht="28" customHeight="1" spans="1:6">
      <c r="A8" s="73" t="s">
        <v>85</v>
      </c>
      <c r="B8" s="73" t="s">
        <v>102</v>
      </c>
      <c r="C8" s="73" t="s">
        <v>103</v>
      </c>
      <c r="D8" s="73" t="s">
        <v>104</v>
      </c>
      <c r="E8" s="74" t="s">
        <v>107</v>
      </c>
      <c r="F8" s="74" t="s">
        <v>108</v>
      </c>
    </row>
    <row r="9" ht="28" customHeight="1" spans="1:6">
      <c r="A9" s="73" t="s">
        <v>85</v>
      </c>
      <c r="B9" s="73" t="s">
        <v>109</v>
      </c>
      <c r="C9" s="73" t="s">
        <v>110</v>
      </c>
      <c r="D9" s="73" t="s">
        <v>111</v>
      </c>
      <c r="E9" s="74" t="s">
        <v>112</v>
      </c>
      <c r="F9" s="74" t="s">
        <v>113</v>
      </c>
    </row>
    <row r="10" ht="28" customHeight="1" spans="1:6">
      <c r="A10" s="73" t="s">
        <v>85</v>
      </c>
      <c r="B10" s="73" t="s">
        <v>109</v>
      </c>
      <c r="C10" s="73" t="s">
        <v>110</v>
      </c>
      <c r="D10" s="73" t="s">
        <v>111</v>
      </c>
      <c r="E10" s="74" t="s">
        <v>114</v>
      </c>
      <c r="F10" s="74" t="s">
        <v>115</v>
      </c>
    </row>
    <row r="11" ht="28" customHeight="1" spans="1:6">
      <c r="A11" s="73" t="s">
        <v>85</v>
      </c>
      <c r="B11" s="73" t="s">
        <v>109</v>
      </c>
      <c r="C11" s="73" t="s">
        <v>110</v>
      </c>
      <c r="D11" s="73" t="s">
        <v>111</v>
      </c>
      <c r="E11" s="74" t="s">
        <v>116</v>
      </c>
      <c r="F11" s="74" t="s">
        <v>117</v>
      </c>
    </row>
    <row r="12" ht="28" customHeight="1" spans="1:6">
      <c r="A12" s="73" t="s">
        <v>85</v>
      </c>
      <c r="B12" s="73" t="s">
        <v>109</v>
      </c>
      <c r="C12" s="73" t="s">
        <v>110</v>
      </c>
      <c r="D12" s="73" t="s">
        <v>118</v>
      </c>
      <c r="E12" s="74" t="s">
        <v>119</v>
      </c>
      <c r="F12" s="74" t="s">
        <v>120</v>
      </c>
    </row>
    <row r="13" ht="28" customHeight="1" spans="1:6">
      <c r="A13" s="73" t="s">
        <v>85</v>
      </c>
      <c r="B13" s="73" t="s">
        <v>109</v>
      </c>
      <c r="C13" s="73" t="s">
        <v>110</v>
      </c>
      <c r="D13" s="73" t="s">
        <v>118</v>
      </c>
      <c r="E13" s="74" t="s">
        <v>121</v>
      </c>
      <c r="F13" s="74" t="s">
        <v>122</v>
      </c>
    </row>
    <row r="14" ht="28" customHeight="1" spans="1:6">
      <c r="A14" s="73" t="s">
        <v>85</v>
      </c>
      <c r="B14" s="73" t="s">
        <v>123</v>
      </c>
      <c r="C14" s="73" t="s">
        <v>124</v>
      </c>
      <c r="D14" s="73" t="s">
        <v>125</v>
      </c>
      <c r="E14" s="74" t="s">
        <v>126</v>
      </c>
      <c r="F14" s="74" t="s">
        <v>127</v>
      </c>
    </row>
    <row r="15" ht="28" customHeight="1" spans="1:6">
      <c r="A15" s="73" t="s">
        <v>85</v>
      </c>
      <c r="B15" s="73" t="s">
        <v>123</v>
      </c>
      <c r="C15" s="73" t="s">
        <v>124</v>
      </c>
      <c r="D15" s="73" t="s">
        <v>125</v>
      </c>
      <c r="E15" s="74" t="s">
        <v>128</v>
      </c>
      <c r="F15" s="74" t="s">
        <v>129</v>
      </c>
    </row>
    <row r="16" ht="28" customHeight="1" spans="1:6">
      <c r="A16" s="73" t="s">
        <v>85</v>
      </c>
      <c r="B16" s="73" t="s">
        <v>123</v>
      </c>
      <c r="C16" s="73" t="s">
        <v>124</v>
      </c>
      <c r="D16" s="73" t="s">
        <v>125</v>
      </c>
      <c r="E16" s="74" t="s">
        <v>130</v>
      </c>
      <c r="F16" s="74" t="s">
        <v>131</v>
      </c>
    </row>
    <row r="17" ht="28" customHeight="1" spans="1:6">
      <c r="A17" s="73" t="s">
        <v>85</v>
      </c>
      <c r="B17" s="73" t="s">
        <v>132</v>
      </c>
      <c r="C17" s="73" t="s">
        <v>124</v>
      </c>
      <c r="D17" s="73" t="s">
        <v>133</v>
      </c>
      <c r="E17" s="74" t="s">
        <v>134</v>
      </c>
      <c r="F17" s="74" t="s">
        <v>135</v>
      </c>
    </row>
    <row r="18" ht="28" customHeight="1" spans="1:6">
      <c r="A18" s="73" t="s">
        <v>85</v>
      </c>
      <c r="B18" s="73" t="s">
        <v>132</v>
      </c>
      <c r="C18" s="73" t="s">
        <v>124</v>
      </c>
      <c r="D18" s="73" t="s">
        <v>133</v>
      </c>
      <c r="E18" s="74" t="s">
        <v>136</v>
      </c>
      <c r="F18" s="74" t="s">
        <v>137</v>
      </c>
    </row>
    <row r="19" ht="28" customHeight="1" spans="1:6">
      <c r="A19" s="73" t="s">
        <v>85</v>
      </c>
      <c r="B19" s="73" t="s">
        <v>132</v>
      </c>
      <c r="C19" s="73" t="s">
        <v>138</v>
      </c>
      <c r="D19" s="73" t="s">
        <v>139</v>
      </c>
      <c r="E19" s="74" t="s">
        <v>140</v>
      </c>
      <c r="F19" s="74" t="s">
        <v>141</v>
      </c>
    </row>
    <row r="20" ht="28" customHeight="1" spans="1:6">
      <c r="A20" s="73" t="s">
        <v>85</v>
      </c>
      <c r="B20" s="73" t="s">
        <v>132</v>
      </c>
      <c r="C20" s="73" t="s">
        <v>138</v>
      </c>
      <c r="D20" s="73" t="s">
        <v>139</v>
      </c>
      <c r="E20" s="74" t="s">
        <v>142</v>
      </c>
      <c r="F20" s="74" t="s">
        <v>143</v>
      </c>
    </row>
    <row r="21" ht="28" customHeight="1" spans="1:6">
      <c r="A21" s="73" t="s">
        <v>85</v>
      </c>
      <c r="B21" s="73" t="s">
        <v>132</v>
      </c>
      <c r="C21" s="73" t="s">
        <v>138</v>
      </c>
      <c r="D21" s="73" t="s">
        <v>139</v>
      </c>
      <c r="E21" s="74" t="s">
        <v>144</v>
      </c>
      <c r="F21" s="74" t="s">
        <v>145</v>
      </c>
    </row>
    <row r="22" ht="28" customHeight="1" spans="1:6">
      <c r="A22" s="73" t="s">
        <v>85</v>
      </c>
      <c r="B22" s="73" t="s">
        <v>146</v>
      </c>
      <c r="C22" s="73" t="s">
        <v>147</v>
      </c>
      <c r="D22" s="73" t="s">
        <v>148</v>
      </c>
      <c r="E22" s="74" t="s">
        <v>149</v>
      </c>
      <c r="F22" s="74" t="s">
        <v>150</v>
      </c>
    </row>
    <row r="23" ht="28" customHeight="1" spans="1:6">
      <c r="A23" s="73" t="s">
        <v>85</v>
      </c>
      <c r="B23" s="73" t="s">
        <v>146</v>
      </c>
      <c r="C23" s="73" t="s">
        <v>147</v>
      </c>
      <c r="D23" s="73" t="s">
        <v>148</v>
      </c>
      <c r="E23" s="74" t="s">
        <v>151</v>
      </c>
      <c r="F23" s="74" t="s">
        <v>152</v>
      </c>
    </row>
    <row r="24" ht="28" customHeight="1" spans="1:6">
      <c r="A24" s="73" t="s">
        <v>85</v>
      </c>
      <c r="B24" s="73" t="s">
        <v>153</v>
      </c>
      <c r="C24" s="73" t="s">
        <v>154</v>
      </c>
      <c r="D24" s="73" t="s">
        <v>155</v>
      </c>
      <c r="E24" s="74" t="s">
        <v>156</v>
      </c>
      <c r="F24" s="74" t="s">
        <v>157</v>
      </c>
    </row>
    <row r="25" ht="28" customHeight="1" spans="1:6">
      <c r="A25" s="73" t="s">
        <v>85</v>
      </c>
      <c r="B25" s="73" t="s">
        <v>153</v>
      </c>
      <c r="C25" s="73" t="s">
        <v>154</v>
      </c>
      <c r="D25" s="73" t="s">
        <v>155</v>
      </c>
      <c r="E25" s="74" t="s">
        <v>158</v>
      </c>
      <c r="F25" s="74" t="s">
        <v>159</v>
      </c>
    </row>
    <row r="26" ht="28" customHeight="1" spans="1:6">
      <c r="A26" s="73" t="s">
        <v>85</v>
      </c>
      <c r="B26" s="73" t="s">
        <v>102</v>
      </c>
      <c r="C26" s="73" t="s">
        <v>160</v>
      </c>
      <c r="D26" s="73" t="s">
        <v>161</v>
      </c>
      <c r="E26" s="74" t="s">
        <v>162</v>
      </c>
      <c r="F26" s="74" t="s">
        <v>163</v>
      </c>
    </row>
    <row r="27" ht="28" customHeight="1" spans="1:6">
      <c r="A27" s="73" t="s">
        <v>85</v>
      </c>
      <c r="B27" s="73" t="s">
        <v>102</v>
      </c>
      <c r="C27" s="73" t="s">
        <v>160</v>
      </c>
      <c r="D27" s="73" t="s">
        <v>161</v>
      </c>
      <c r="E27" s="74" t="s">
        <v>164</v>
      </c>
      <c r="F27" s="74" t="s">
        <v>165</v>
      </c>
    </row>
    <row r="28" spans="1:6">
      <c r="A28" s="6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4"/>
  <sheetViews>
    <sheetView tabSelected="1" zoomScale="77" zoomScaleNormal="77" workbookViewId="0">
      <selection activeCell="K3" sqref="K3"/>
    </sheetView>
  </sheetViews>
  <sheetFormatPr defaultColWidth="9" defaultRowHeight="16.8"/>
  <cols>
    <col min="1" max="1" width="17.1826923076923" customWidth="1"/>
    <col min="2" max="2" width="21.9038461538462" customWidth="1"/>
    <col min="3" max="3" width="89.5384615384615" customWidth="1"/>
    <col min="4" max="4" width="18.9038461538462" customWidth="1"/>
    <col min="5" max="5" width="9.73076923076923" customWidth="1"/>
    <col min="6" max="6" width="11.4519230769231" customWidth="1"/>
    <col min="7" max="7" width="9.63461538461538" customWidth="1"/>
    <col min="8" max="8" width="15.2692307692308" customWidth="1"/>
    <col min="9" max="9" width="23.8173076923077" customWidth="1"/>
    <col min="10" max="10" width="19.3653846153846" customWidth="1"/>
    <col min="11" max="11" width="27.3653846153846" customWidth="1"/>
    <col min="12" max="12" width="18.6346153846154" customWidth="1"/>
  </cols>
  <sheetData>
    <row r="1" ht="26.5" customHeight="1" spans="1:11">
      <c r="A1" s="46" t="s">
        <v>166</v>
      </c>
      <c r="B1" s="47" t="s">
        <v>167</v>
      </c>
      <c r="C1" s="47" t="s">
        <v>168</v>
      </c>
      <c r="D1" s="47" t="s">
        <v>169</v>
      </c>
      <c r="E1" s="47" t="s">
        <v>170</v>
      </c>
      <c r="F1" s="47" t="s">
        <v>171</v>
      </c>
      <c r="G1" s="47" t="s">
        <v>172</v>
      </c>
      <c r="H1" s="47" t="s">
        <v>173</v>
      </c>
      <c r="I1" s="47" t="s">
        <v>174</v>
      </c>
      <c r="J1" s="47" t="s">
        <v>175</v>
      </c>
      <c r="K1" s="47" t="s">
        <v>176</v>
      </c>
    </row>
    <row r="2" ht="95" customHeight="1" spans="1:11">
      <c r="A2" s="48" t="s">
        <v>177</v>
      </c>
      <c r="B2" s="49" t="s">
        <v>178</v>
      </c>
      <c r="C2" s="24" t="s">
        <v>179</v>
      </c>
      <c r="D2" s="50" t="s">
        <v>180</v>
      </c>
      <c r="E2" s="51">
        <f>F2/F6</f>
        <v>0.294117647058824</v>
      </c>
      <c r="F2" s="52">
        <v>50</v>
      </c>
      <c r="G2" s="53">
        <v>3300</v>
      </c>
      <c r="H2" s="54">
        <f>F2*G2</f>
        <v>165000</v>
      </c>
      <c r="I2" s="50" t="s">
        <v>181</v>
      </c>
      <c r="J2" s="55" t="s">
        <v>182</v>
      </c>
      <c r="K2" s="56" t="s">
        <v>183</v>
      </c>
    </row>
    <row r="3" ht="140" customHeight="1" spans="1:11">
      <c r="A3" s="57" t="s">
        <v>184</v>
      </c>
      <c r="B3" s="49" t="s">
        <v>185</v>
      </c>
      <c r="C3" s="24" t="s">
        <v>186</v>
      </c>
      <c r="D3" s="50" t="s">
        <v>187</v>
      </c>
      <c r="E3" s="51">
        <f>F3/F6</f>
        <v>0.352941176470588</v>
      </c>
      <c r="F3" s="52">
        <v>60</v>
      </c>
      <c r="G3" s="53">
        <v>3900</v>
      </c>
      <c r="H3" s="54">
        <f>F3*G3</f>
        <v>234000</v>
      </c>
      <c r="I3" s="50" t="s">
        <v>188</v>
      </c>
      <c r="J3" s="55" t="s">
        <v>189</v>
      </c>
      <c r="K3" s="56" t="s">
        <v>190</v>
      </c>
    </row>
    <row r="4" ht="107" customHeight="1" spans="1:11">
      <c r="A4" s="58" t="s">
        <v>191</v>
      </c>
      <c r="B4" s="49" t="s">
        <v>192</v>
      </c>
      <c r="C4" s="24" t="s">
        <v>193</v>
      </c>
      <c r="D4" s="50" t="s">
        <v>194</v>
      </c>
      <c r="E4" s="51">
        <f>F4/F6</f>
        <v>0.352941176470588</v>
      </c>
      <c r="F4" s="52">
        <v>60</v>
      </c>
      <c r="G4" s="53">
        <v>2500</v>
      </c>
      <c r="H4" s="54">
        <f>F4*G4</f>
        <v>150000</v>
      </c>
      <c r="I4" s="50" t="s">
        <v>195</v>
      </c>
      <c r="J4" s="55" t="s">
        <v>196</v>
      </c>
      <c r="K4" s="56" t="s">
        <v>197</v>
      </c>
    </row>
    <row r="5" ht="107" customHeight="1" spans="1:11">
      <c r="A5" s="58" t="s">
        <v>198</v>
      </c>
      <c r="B5" s="49" t="s">
        <v>199</v>
      </c>
      <c r="C5" s="24" t="s">
        <v>200</v>
      </c>
      <c r="D5" s="50" t="s">
        <v>201</v>
      </c>
      <c r="E5" s="51">
        <v>0</v>
      </c>
      <c r="F5" s="52">
        <v>15</v>
      </c>
      <c r="G5" s="53"/>
      <c r="H5" s="54"/>
      <c r="I5" s="50" t="s">
        <v>202</v>
      </c>
      <c r="J5" s="55" t="s">
        <v>203</v>
      </c>
      <c r="K5" s="56" t="s">
        <v>204</v>
      </c>
    </row>
    <row r="6" ht="22" customHeight="1" spans="1:11">
      <c r="A6" s="59" t="s">
        <v>205</v>
      </c>
      <c r="B6" s="60"/>
      <c r="C6" s="60"/>
      <c r="D6" s="60"/>
      <c r="E6" s="61"/>
      <c r="F6" s="62">
        <f>SUM(F2:F4)</f>
        <v>170</v>
      </c>
      <c r="G6" s="63"/>
      <c r="H6" s="64">
        <f>SUM(H2:H5)</f>
        <v>549000</v>
      </c>
      <c r="I6" s="60"/>
      <c r="J6" s="60"/>
      <c r="K6" s="60"/>
    </row>
    <row r="9" spans="1:11">
      <c r="B9" s="65" t="s">
        <v>206</v>
      </c>
      <c r="C9" s="66">
        <v>25</v>
      </c>
      <c r="D9" s="67">
        <f>C9/C14</f>
        <v>0.135135135135135</v>
      </c>
      <c r="F9" s="68" t="s">
        <v>207</v>
      </c>
    </row>
    <row r="10" spans="1:11">
      <c r="B10" s="69" t="s">
        <v>208</v>
      </c>
      <c r="C10" s="66">
        <v>30</v>
      </c>
      <c r="D10" s="67">
        <f>C10/C14</f>
        <v>0.162162162162162</v>
      </c>
    </row>
    <row r="11" spans="1:11">
      <c r="B11" s="70" t="s">
        <v>209</v>
      </c>
      <c r="C11" s="66">
        <v>90</v>
      </c>
      <c r="D11" s="67">
        <f>C11/C14</f>
        <v>0.486486486486487</v>
      </c>
    </row>
    <row r="12" spans="1:11">
      <c r="B12" s="70" t="s">
        <v>210</v>
      </c>
      <c r="C12" s="66">
        <v>25</v>
      </c>
      <c r="D12" s="67">
        <f>C12/C14</f>
        <v>0.135135135135135</v>
      </c>
    </row>
    <row r="13" spans="1:11">
      <c r="B13" s="69" t="s">
        <v>211</v>
      </c>
      <c r="C13" s="66">
        <v>15</v>
      </c>
      <c r="D13" s="67">
        <f>C13/C14</f>
        <v>0.0810810810810811</v>
      </c>
    </row>
    <row r="14" spans="1:11">
      <c r="C14" s="71">
        <f>SUM(C9:C13)</f>
        <v>185</v>
      </c>
      <c r="D14" s="68" t="s">
        <v>207</v>
      </c>
      <c r="E14" s="68" t="s">
        <v>207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1"/>
  <sheetViews>
    <sheetView workbookViewId="0">
      <selection activeCell="A1" sqref="A1:L1"/>
    </sheetView>
  </sheetViews>
  <sheetFormatPr defaultColWidth="9" defaultRowHeight="16.8"/>
  <cols>
    <col min="1" max="1" width="12" customWidth="1"/>
    <col min="2" max="2" width="33.9038461538462" customWidth="1"/>
    <col min="3" max="3" width="50.8173076923077" customWidth="1"/>
    <col min="4" max="4" width="9.81730769230769" customWidth="1"/>
    <col min="5" max="5" width="64.5384615384615" customWidth="1"/>
    <col min="6" max="6" width="9.90384615384615" customWidth="1"/>
    <col min="7" max="7" width="27.8173076923077" customWidth="1"/>
    <col min="8" max="8" width="49.1826923076923" customWidth="1"/>
    <col min="9" max="9" width="28.2692307692308" customWidth="1"/>
  </cols>
  <sheetData>
    <row r="1" ht="19.2" spans="1:1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5"/>
      <c r="K2" s="35"/>
      <c r="L2" s="35"/>
    </row>
    <row r="3" ht="61" customHeight="1" spans="1:12">
      <c r="A3" s="36" t="s">
        <v>10</v>
      </c>
      <c r="B3" s="37" t="s">
        <v>11</v>
      </c>
      <c r="C3" s="38" t="s">
        <v>12</v>
      </c>
      <c r="D3" s="39" t="s">
        <v>13</v>
      </c>
      <c r="E3" s="38" t="s">
        <v>14</v>
      </c>
      <c r="F3" s="40" t="s">
        <v>15</v>
      </c>
      <c r="G3" s="41" t="s">
        <v>16</v>
      </c>
      <c r="H3" s="42" t="s">
        <v>17</v>
      </c>
      <c r="I3" s="38" t="s">
        <v>18</v>
      </c>
      <c r="J3" s="35"/>
      <c r="K3" s="35"/>
      <c r="L3" s="35"/>
    </row>
    <row r="4" ht="61" customHeight="1" spans="1:12">
      <c r="A4" s="43" t="s">
        <v>19</v>
      </c>
      <c r="B4" s="37" t="s">
        <v>20</v>
      </c>
      <c r="C4" s="38" t="s">
        <v>21</v>
      </c>
      <c r="D4" s="39" t="s">
        <v>22</v>
      </c>
      <c r="E4" s="38" t="s">
        <v>23</v>
      </c>
      <c r="F4" s="40" t="s">
        <v>24</v>
      </c>
      <c r="G4" s="41" t="s">
        <v>25</v>
      </c>
      <c r="H4" s="42" t="s">
        <v>26</v>
      </c>
      <c r="I4" s="38" t="s">
        <v>27</v>
      </c>
      <c r="J4" s="35"/>
      <c r="K4" s="35"/>
      <c r="L4" s="35"/>
    </row>
    <row r="5" ht="61" customHeight="1" spans="1:12">
      <c r="A5" s="43" t="s">
        <v>19</v>
      </c>
      <c r="B5" s="37" t="s">
        <v>28</v>
      </c>
      <c r="C5" s="38" t="s">
        <v>29</v>
      </c>
      <c r="D5" s="39" t="s">
        <v>30</v>
      </c>
      <c r="E5" s="38" t="s">
        <v>31</v>
      </c>
      <c r="F5" s="40" t="s">
        <v>15</v>
      </c>
      <c r="G5" s="41" t="s">
        <v>32</v>
      </c>
      <c r="H5" s="42" t="s">
        <v>33</v>
      </c>
      <c r="I5" s="38" t="s">
        <v>34</v>
      </c>
      <c r="J5" s="35"/>
      <c r="K5" s="35"/>
      <c r="L5" s="35"/>
    </row>
    <row r="6" ht="61" customHeight="1" spans="1:12">
      <c r="A6" s="43" t="s">
        <v>19</v>
      </c>
      <c r="B6" s="37" t="s">
        <v>35</v>
      </c>
      <c r="C6" s="38" t="s">
        <v>36</v>
      </c>
      <c r="D6" s="39" t="s">
        <v>30</v>
      </c>
      <c r="E6" s="38" t="s">
        <v>37</v>
      </c>
      <c r="F6" s="40" t="s">
        <v>15</v>
      </c>
      <c r="G6" s="41" t="s">
        <v>38</v>
      </c>
      <c r="H6" s="42" t="s">
        <v>39</v>
      </c>
      <c r="I6" s="38" t="s">
        <v>40</v>
      </c>
      <c r="J6" s="35"/>
      <c r="K6" s="35"/>
      <c r="L6" s="35"/>
    </row>
    <row r="7" ht="61" customHeight="1" spans="1:12">
      <c r="A7" s="44" t="s">
        <v>41</v>
      </c>
      <c r="B7" s="37" t="s">
        <v>42</v>
      </c>
      <c r="C7" s="38" t="s">
        <v>43</v>
      </c>
      <c r="D7" s="39" t="s">
        <v>44</v>
      </c>
      <c r="E7" s="38" t="s">
        <v>45</v>
      </c>
      <c r="F7" s="40" t="s">
        <v>15</v>
      </c>
      <c r="G7" s="41" t="s">
        <v>46</v>
      </c>
      <c r="H7" s="42" t="s">
        <v>47</v>
      </c>
      <c r="I7" s="38" t="s">
        <v>48</v>
      </c>
      <c r="J7" s="35"/>
      <c r="K7" s="35"/>
      <c r="L7" s="35"/>
    </row>
    <row r="8" ht="61" customHeight="1" spans="1:12">
      <c r="A8" s="44" t="s">
        <v>41</v>
      </c>
      <c r="B8" s="37" t="s">
        <v>49</v>
      </c>
      <c r="C8" s="38" t="s">
        <v>50</v>
      </c>
      <c r="D8" s="39" t="s">
        <v>51</v>
      </c>
      <c r="E8" s="38" t="s">
        <v>52</v>
      </c>
      <c r="F8" s="40" t="s">
        <v>53</v>
      </c>
      <c r="G8" s="41" t="s">
        <v>54</v>
      </c>
      <c r="H8" s="42" t="s">
        <v>55</v>
      </c>
      <c r="I8" s="38" t="s">
        <v>56</v>
      </c>
      <c r="J8" s="35"/>
      <c r="K8" s="35"/>
      <c r="L8" s="35"/>
    </row>
    <row r="9" ht="61" customHeight="1" spans="1:12">
      <c r="A9" s="44" t="s">
        <v>41</v>
      </c>
      <c r="B9" s="37" t="s">
        <v>57</v>
      </c>
      <c r="C9" s="38" t="s">
        <v>58</v>
      </c>
      <c r="D9" s="39" t="s">
        <v>59</v>
      </c>
      <c r="E9" s="38" t="s">
        <v>60</v>
      </c>
      <c r="F9" s="40" t="s">
        <v>15</v>
      </c>
      <c r="G9" s="41" t="s">
        <v>61</v>
      </c>
      <c r="H9" s="42" t="s">
        <v>62</v>
      </c>
      <c r="I9" s="38" t="s">
        <v>63</v>
      </c>
      <c r="J9" s="35"/>
      <c r="K9" s="35"/>
      <c r="L9" s="35"/>
    </row>
    <row r="10" ht="61" customHeight="1" spans="1:12">
      <c r="A10" s="45" t="s">
        <v>64</v>
      </c>
      <c r="B10" s="37" t="s">
        <v>65</v>
      </c>
      <c r="C10" s="38" t="s">
        <v>66</v>
      </c>
      <c r="D10" s="39" t="s">
        <v>67</v>
      </c>
      <c r="E10" s="38" t="s">
        <v>68</v>
      </c>
      <c r="F10" s="40" t="s">
        <v>15</v>
      </c>
      <c r="G10" s="41" t="s">
        <v>69</v>
      </c>
      <c r="H10" s="42" t="s">
        <v>70</v>
      </c>
      <c r="I10" s="38" t="s">
        <v>71</v>
      </c>
      <c r="J10" s="35"/>
      <c r="K10" s="35"/>
      <c r="L10" s="35"/>
    </row>
    <row r="11" ht="61" customHeight="1" spans="1:12">
      <c r="A11" s="45" t="s">
        <v>64</v>
      </c>
      <c r="B11" s="37" t="s">
        <v>72</v>
      </c>
      <c r="C11" s="38" t="s">
        <v>73</v>
      </c>
      <c r="D11" s="39" t="s">
        <v>74</v>
      </c>
      <c r="E11" s="38" t="s">
        <v>75</v>
      </c>
      <c r="F11" s="40" t="s">
        <v>15</v>
      </c>
      <c r="G11" s="41" t="s">
        <v>76</v>
      </c>
      <c r="H11" s="42" t="s">
        <v>77</v>
      </c>
      <c r="I11" s="38" t="s">
        <v>78</v>
      </c>
      <c r="J11" s="35"/>
      <c r="K11" s="35"/>
      <c r="L11" s="35"/>
    </row>
  </sheetData>
  <mergeCells count="1">
    <mergeCell ref="A1:L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2:G9"/>
  <sheetViews>
    <sheetView zoomScale="145" zoomScaleNormal="145" workbookViewId="0">
      <selection activeCell="A1" sqref="A1"/>
    </sheetView>
  </sheetViews>
  <sheetFormatPr defaultColWidth="9" defaultRowHeight="16.8" outlineLevelCol="6"/>
  <cols>
    <col min="1" max="1" width="12.7307692307692" customWidth="1"/>
    <col min="2" max="2" width="18.2692307692308" customWidth="1"/>
    <col min="3" max="3" width="31.7307692307692" customWidth="1"/>
    <col min="4" max="4" width="55.2692307692308" customWidth="1"/>
    <col min="5" max="5" width="29" customWidth="1"/>
    <col min="6" max="6" width="28.9038461538462" customWidth="1"/>
    <col min="7" max="7" width="26.9038461538462" customWidth="1"/>
  </cols>
  <sheetData>
    <row r="2" ht="35.5" customHeight="1" spans="1:7">
      <c r="A2" s="20" t="s">
        <v>79</v>
      </c>
      <c r="B2" s="20" t="s">
        <v>212</v>
      </c>
      <c r="C2" s="20" t="s">
        <v>213</v>
      </c>
      <c r="D2" s="20" t="s">
        <v>214</v>
      </c>
      <c r="E2" s="20" t="s">
        <v>215</v>
      </c>
      <c r="F2" s="20" t="s">
        <v>216</v>
      </c>
      <c r="G2" s="20" t="s">
        <v>217</v>
      </c>
    </row>
    <row r="3" ht="45" spans="1:7">
      <c r="A3" s="21" t="s">
        <v>218</v>
      </c>
      <c r="B3" s="22" t="s">
        <v>219</v>
      </c>
      <c r="C3" s="23" t="s">
        <v>220</v>
      </c>
      <c r="D3" s="24" t="s">
        <v>221</v>
      </c>
      <c r="E3" s="25" t="s">
        <v>222</v>
      </c>
      <c r="F3" s="24" t="s">
        <v>223</v>
      </c>
      <c r="G3" s="26" t="s">
        <v>224</v>
      </c>
    </row>
    <row r="4" ht="34" spans="1:7">
      <c r="A4" s="27" t="s">
        <v>225</v>
      </c>
      <c r="B4" s="22" t="s">
        <v>226</v>
      </c>
      <c r="C4" s="23" t="s">
        <v>227</v>
      </c>
      <c r="D4" s="24" t="s">
        <v>228</v>
      </c>
      <c r="E4" s="25" t="s">
        <v>229</v>
      </c>
      <c r="F4" s="24" t="s">
        <v>230</v>
      </c>
      <c r="G4" s="26" t="s">
        <v>231</v>
      </c>
    </row>
    <row r="5" ht="45" spans="1:7">
      <c r="A5" s="28" t="s">
        <v>232</v>
      </c>
      <c r="B5" s="22" t="s">
        <v>233</v>
      </c>
      <c r="C5" s="23" t="s">
        <v>234</v>
      </c>
      <c r="D5" s="24" t="s">
        <v>235</v>
      </c>
      <c r="E5" s="25" t="s">
        <v>236</v>
      </c>
      <c r="F5" s="24" t="s">
        <v>237</v>
      </c>
      <c r="G5" s="26" t="s">
        <v>238</v>
      </c>
    </row>
    <row r="6" ht="45" spans="1:7">
      <c r="A6" s="29" t="s">
        <v>239</v>
      </c>
      <c r="B6" s="22" t="s">
        <v>240</v>
      </c>
      <c r="C6" s="23" t="s">
        <v>241</v>
      </c>
      <c r="D6" s="24" t="s">
        <v>242</v>
      </c>
      <c r="E6" s="25" t="s">
        <v>243</v>
      </c>
      <c r="F6" s="24" t="s">
        <v>244</v>
      </c>
      <c r="G6" s="26" t="s">
        <v>245</v>
      </c>
    </row>
    <row r="7" ht="34" spans="1:7">
      <c r="A7" s="30" t="s">
        <v>246</v>
      </c>
      <c r="B7" s="22" t="s">
        <v>247</v>
      </c>
      <c r="C7" s="23" t="s">
        <v>248</v>
      </c>
      <c r="D7" s="24" t="s">
        <v>249</v>
      </c>
      <c r="E7" s="25" t="s">
        <v>250</v>
      </c>
      <c r="F7" s="24" t="s">
        <v>251</v>
      </c>
      <c r="G7" s="26" t="s">
        <v>252</v>
      </c>
    </row>
    <row r="8" ht="34" spans="1:7">
      <c r="A8" s="31" t="s">
        <v>253</v>
      </c>
      <c r="B8" s="22" t="s">
        <v>254</v>
      </c>
      <c r="C8" s="23" t="s">
        <v>255</v>
      </c>
      <c r="D8" s="24" t="s">
        <v>256</v>
      </c>
      <c r="E8" s="25" t="s">
        <v>257</v>
      </c>
      <c r="F8" s="24" t="s">
        <v>258</v>
      </c>
      <c r="G8" s="26" t="s">
        <v>259</v>
      </c>
    </row>
    <row r="9" ht="44" customHeight="1" spans="1:7">
      <c r="A9" s="32" t="s">
        <v>260</v>
      </c>
      <c r="B9" s="22" t="s">
        <v>261</v>
      </c>
      <c r="C9" s="23" t="s">
        <v>262</v>
      </c>
      <c r="D9" s="24" t="s">
        <v>263</v>
      </c>
      <c r="E9" s="25" t="s">
        <v>264</v>
      </c>
      <c r="F9" s="24" t="s">
        <v>265</v>
      </c>
      <c r="G9" s="26" t="s">
        <v>266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F96"/>
  <sheetViews>
    <sheetView workbookViewId="0">
      <selection activeCell="A1" sqref="A1"/>
    </sheetView>
  </sheetViews>
  <sheetFormatPr defaultColWidth="9" defaultRowHeight="16.8" outlineLevelCol="5"/>
  <cols>
    <col min="1" max="1" width="9.45192307692308" customWidth="1"/>
    <col min="2" max="2" width="7.73076923076923" customWidth="1"/>
    <col min="3" max="3" width="15.8173076923077" customWidth="1"/>
    <col min="4" max="4" width="106.538461538462" customWidth="1"/>
    <col min="5" max="5" width="30.4519230769231" customWidth="1"/>
    <col min="6" max="6" width="17.2692307692308" customWidth="1"/>
  </cols>
  <sheetData>
    <row r="1" spans="1:6">
      <c r="A1" s="3" t="s">
        <v>79</v>
      </c>
      <c r="B1" s="3" t="s">
        <v>267</v>
      </c>
      <c r="C1" s="3" t="s">
        <v>166</v>
      </c>
      <c r="D1" s="3" t="s">
        <v>268</v>
      </c>
      <c r="E1" s="3" t="s">
        <v>269</v>
      </c>
      <c r="F1" s="3" t="s">
        <v>270</v>
      </c>
    </row>
    <row r="2" ht="34" customHeight="1" spans="1:6">
      <c r="A2" s="4" t="s">
        <v>271</v>
      </c>
      <c r="B2" s="5" t="s">
        <v>272</v>
      </c>
      <c r="C2" s="6" t="s">
        <v>177</v>
      </c>
      <c r="D2" s="7" t="s">
        <v>273</v>
      </c>
      <c r="E2" s="8" t="s">
        <v>274</v>
      </c>
      <c r="F2" s="9" t="s">
        <v>275</v>
      </c>
    </row>
    <row r="3" ht="34" customHeight="1" spans="1:6">
      <c r="A3" s="4" t="s">
        <v>271</v>
      </c>
      <c r="B3" s="5" t="s">
        <v>272</v>
      </c>
      <c r="C3" s="6" t="s">
        <v>177</v>
      </c>
      <c r="D3" s="7" t="s">
        <v>276</v>
      </c>
      <c r="E3" s="10"/>
      <c r="F3" s="10"/>
    </row>
    <row r="4" ht="34" customHeight="1" spans="1:6">
      <c r="A4" s="4" t="s">
        <v>271</v>
      </c>
      <c r="B4" s="5" t="s">
        <v>272</v>
      </c>
      <c r="C4" s="6" t="s">
        <v>177</v>
      </c>
      <c r="D4" s="7" t="s">
        <v>277</v>
      </c>
      <c r="E4" s="10"/>
      <c r="F4" s="10"/>
    </row>
    <row r="5" ht="34" customHeight="1" spans="1:6">
      <c r="A5" s="4" t="s">
        <v>271</v>
      </c>
      <c r="B5" s="5" t="s">
        <v>272</v>
      </c>
      <c r="C5" s="6" t="s">
        <v>177</v>
      </c>
      <c r="D5" s="7" t="s">
        <v>278</v>
      </c>
      <c r="E5" s="10"/>
      <c r="F5" s="10"/>
    </row>
    <row r="6" ht="34" customHeight="1" spans="1:6">
      <c r="A6" s="4" t="s">
        <v>271</v>
      </c>
      <c r="B6" s="5" t="s">
        <v>272</v>
      </c>
      <c r="C6" s="11" t="s">
        <v>279</v>
      </c>
      <c r="D6" s="7" t="s">
        <v>280</v>
      </c>
      <c r="E6" s="8" t="s">
        <v>281</v>
      </c>
      <c r="F6" s="9" t="s">
        <v>282</v>
      </c>
    </row>
    <row r="7" ht="34" customHeight="1" spans="1:6">
      <c r="A7" s="4" t="s">
        <v>271</v>
      </c>
      <c r="B7" s="5" t="s">
        <v>272</v>
      </c>
      <c r="C7" s="11" t="s">
        <v>279</v>
      </c>
      <c r="D7" s="7" t="s">
        <v>283</v>
      </c>
      <c r="E7" s="10"/>
      <c r="F7" s="10"/>
    </row>
    <row r="8" ht="34" customHeight="1" spans="1:6">
      <c r="A8" s="4" t="s">
        <v>271</v>
      </c>
      <c r="B8" s="5" t="s">
        <v>272</v>
      </c>
      <c r="C8" s="11" t="s">
        <v>279</v>
      </c>
      <c r="D8" s="7" t="s">
        <v>284</v>
      </c>
      <c r="E8" s="10"/>
      <c r="F8" s="10"/>
    </row>
    <row r="9" ht="34" customHeight="1" spans="1:6">
      <c r="A9" s="4" t="s">
        <v>271</v>
      </c>
      <c r="B9" s="5" t="s">
        <v>272</v>
      </c>
      <c r="C9" s="11" t="s">
        <v>279</v>
      </c>
      <c r="D9" s="7" t="s">
        <v>285</v>
      </c>
      <c r="E9" s="10"/>
      <c r="F9" s="10"/>
    </row>
    <row r="10" ht="34" customHeight="1" spans="1:6">
      <c r="A10" s="4" t="s">
        <v>271</v>
      </c>
      <c r="B10" s="5" t="s">
        <v>272</v>
      </c>
      <c r="C10" s="12" t="s">
        <v>286</v>
      </c>
      <c r="D10" s="7" t="s">
        <v>287</v>
      </c>
      <c r="E10" s="8" t="s">
        <v>288</v>
      </c>
      <c r="F10" s="9" t="s">
        <v>289</v>
      </c>
    </row>
    <row r="11" ht="34" customHeight="1" spans="1:6">
      <c r="A11" s="4" t="s">
        <v>271</v>
      </c>
      <c r="B11" s="5" t="s">
        <v>272</v>
      </c>
      <c r="C11" s="12" t="s">
        <v>286</v>
      </c>
      <c r="D11" s="7" t="s">
        <v>290</v>
      </c>
      <c r="E11" s="10"/>
      <c r="F11" s="10"/>
    </row>
    <row r="12" ht="34" customHeight="1" spans="1:6">
      <c r="A12" s="4" t="s">
        <v>271</v>
      </c>
      <c r="B12" s="5" t="s">
        <v>272</v>
      </c>
      <c r="C12" s="12" t="s">
        <v>286</v>
      </c>
      <c r="D12" s="7" t="s">
        <v>291</v>
      </c>
      <c r="E12" s="10"/>
      <c r="F12" s="10"/>
    </row>
    <row r="13" ht="34" customHeight="1" spans="1:6">
      <c r="A13" s="4" t="s">
        <v>271</v>
      </c>
      <c r="B13" s="5" t="s">
        <v>272</v>
      </c>
      <c r="C13" s="13" t="s">
        <v>292</v>
      </c>
      <c r="D13" s="7" t="s">
        <v>293</v>
      </c>
      <c r="E13" s="8" t="s">
        <v>294</v>
      </c>
      <c r="F13" s="9" t="s">
        <v>295</v>
      </c>
    </row>
    <row r="14" ht="34" customHeight="1" spans="1:6">
      <c r="A14" s="4" t="s">
        <v>271</v>
      </c>
      <c r="B14" s="5" t="s">
        <v>296</v>
      </c>
      <c r="C14" s="6" t="s">
        <v>177</v>
      </c>
      <c r="D14" s="7" t="s">
        <v>297</v>
      </c>
      <c r="E14" s="8" t="s">
        <v>298</v>
      </c>
      <c r="F14" s="9" t="s">
        <v>299</v>
      </c>
    </row>
    <row r="15" ht="34" customHeight="1" spans="1:6">
      <c r="A15" s="4" t="s">
        <v>271</v>
      </c>
      <c r="B15" s="5" t="s">
        <v>296</v>
      </c>
      <c r="C15" s="6" t="s">
        <v>177</v>
      </c>
      <c r="D15" s="7" t="s">
        <v>300</v>
      </c>
      <c r="E15" s="10"/>
      <c r="F15" s="10"/>
    </row>
    <row r="16" ht="34" customHeight="1" spans="1:6">
      <c r="A16" s="4" t="s">
        <v>271</v>
      </c>
      <c r="B16" s="5" t="s">
        <v>296</v>
      </c>
      <c r="C16" s="11" t="s">
        <v>279</v>
      </c>
      <c r="D16" s="7" t="s">
        <v>301</v>
      </c>
      <c r="E16" s="8" t="s">
        <v>302</v>
      </c>
      <c r="F16" s="9" t="s">
        <v>303</v>
      </c>
    </row>
    <row r="17" ht="34" customHeight="1" spans="1:6">
      <c r="A17" s="4" t="s">
        <v>271</v>
      </c>
      <c r="B17" s="5" t="s">
        <v>296</v>
      </c>
      <c r="C17" s="11" t="s">
        <v>279</v>
      </c>
      <c r="D17" s="7" t="s">
        <v>304</v>
      </c>
      <c r="E17" s="10"/>
      <c r="F17" s="10"/>
    </row>
    <row r="18" ht="34" customHeight="1" spans="1:6">
      <c r="A18" s="4" t="s">
        <v>271</v>
      </c>
      <c r="B18" s="5" t="s">
        <v>296</v>
      </c>
      <c r="C18" s="12" t="s">
        <v>286</v>
      </c>
      <c r="D18" s="7" t="s">
        <v>305</v>
      </c>
      <c r="E18" s="8" t="s">
        <v>306</v>
      </c>
      <c r="F18" s="9"/>
    </row>
    <row r="19" ht="34" customHeight="1" spans="1:6">
      <c r="A19" s="4" t="s">
        <v>271</v>
      </c>
      <c r="B19" s="5" t="s">
        <v>296</v>
      </c>
      <c r="C19" s="12" t="s">
        <v>286</v>
      </c>
      <c r="D19" s="7" t="s">
        <v>307</v>
      </c>
      <c r="E19" s="10"/>
      <c r="F19" s="10"/>
    </row>
    <row r="20" ht="34" customHeight="1" spans="1:6">
      <c r="A20" s="14" t="s">
        <v>225</v>
      </c>
      <c r="B20" s="5" t="s">
        <v>308</v>
      </c>
      <c r="C20" s="6" t="s">
        <v>177</v>
      </c>
      <c r="D20" s="7" t="s">
        <v>309</v>
      </c>
      <c r="E20" s="8" t="s">
        <v>310</v>
      </c>
      <c r="F20" s="9"/>
    </row>
    <row r="21" ht="34" customHeight="1" spans="1:6">
      <c r="A21" s="14" t="s">
        <v>225</v>
      </c>
      <c r="B21" s="5" t="s">
        <v>308</v>
      </c>
      <c r="C21" s="6" t="s">
        <v>177</v>
      </c>
      <c r="D21" s="7" t="s">
        <v>311</v>
      </c>
      <c r="E21" s="10"/>
      <c r="F21" s="10"/>
    </row>
    <row r="22" ht="34" customHeight="1" spans="1:6">
      <c r="A22" s="14" t="s">
        <v>225</v>
      </c>
      <c r="B22" s="5" t="s">
        <v>308</v>
      </c>
      <c r="C22" s="11" t="s">
        <v>279</v>
      </c>
      <c r="D22" s="7" t="s">
        <v>312</v>
      </c>
      <c r="E22" s="8" t="s">
        <v>313</v>
      </c>
      <c r="F22" s="9"/>
    </row>
    <row r="23" ht="34" customHeight="1" spans="1:6">
      <c r="A23" s="14" t="s">
        <v>225</v>
      </c>
      <c r="B23" s="5" t="s">
        <v>308</v>
      </c>
      <c r="C23" s="11" t="s">
        <v>279</v>
      </c>
      <c r="D23" s="7" t="s">
        <v>314</v>
      </c>
      <c r="E23" s="10"/>
      <c r="F23" s="10"/>
    </row>
    <row r="24" ht="34" customHeight="1" spans="1:6">
      <c r="A24" s="14" t="s">
        <v>225</v>
      </c>
      <c r="B24" s="5" t="s">
        <v>308</v>
      </c>
      <c r="C24" s="11" t="s">
        <v>279</v>
      </c>
      <c r="D24" s="7" t="s">
        <v>315</v>
      </c>
      <c r="E24" s="10"/>
      <c r="F24" s="10"/>
    </row>
    <row r="25" ht="34" customHeight="1" spans="1:6">
      <c r="A25" s="14" t="s">
        <v>225</v>
      </c>
      <c r="B25" s="5" t="s">
        <v>308</v>
      </c>
      <c r="C25" s="12" t="s">
        <v>286</v>
      </c>
      <c r="D25" s="7" t="s">
        <v>316</v>
      </c>
      <c r="E25" s="8" t="s">
        <v>317</v>
      </c>
      <c r="F25" s="9"/>
    </row>
    <row r="26" ht="34" customHeight="1" spans="1:6">
      <c r="A26" s="14" t="s">
        <v>225</v>
      </c>
      <c r="B26" s="5" t="s">
        <v>308</v>
      </c>
      <c r="C26" s="12" t="s">
        <v>286</v>
      </c>
      <c r="D26" s="7" t="s">
        <v>318</v>
      </c>
      <c r="E26" s="10"/>
      <c r="F26" s="10"/>
    </row>
    <row r="27" ht="34" customHeight="1" spans="1:6">
      <c r="A27" s="14" t="s">
        <v>225</v>
      </c>
      <c r="B27" s="5" t="s">
        <v>308</v>
      </c>
      <c r="C27" s="12" t="s">
        <v>286</v>
      </c>
      <c r="D27" s="7" t="s">
        <v>319</v>
      </c>
      <c r="E27" s="10"/>
      <c r="F27" s="10"/>
    </row>
    <row r="28" ht="34" customHeight="1" spans="1:6">
      <c r="A28" s="14" t="s">
        <v>225</v>
      </c>
      <c r="B28" s="5" t="s">
        <v>308</v>
      </c>
      <c r="C28" s="13" t="s">
        <v>292</v>
      </c>
      <c r="D28" s="7" t="s">
        <v>320</v>
      </c>
      <c r="E28" s="8" t="s">
        <v>321</v>
      </c>
      <c r="F28" s="9"/>
    </row>
    <row r="29" ht="34" customHeight="1" spans="1:6">
      <c r="A29" s="15" t="s">
        <v>322</v>
      </c>
      <c r="B29" s="5" t="s">
        <v>323</v>
      </c>
      <c r="C29" s="6" t="s">
        <v>177</v>
      </c>
      <c r="D29" s="7" t="s">
        <v>324</v>
      </c>
      <c r="E29" s="8" t="s">
        <v>325</v>
      </c>
      <c r="F29" s="9"/>
    </row>
    <row r="30" ht="34" customHeight="1" spans="1:6">
      <c r="A30" s="15" t="s">
        <v>322</v>
      </c>
      <c r="B30" s="5" t="s">
        <v>323</v>
      </c>
      <c r="C30" s="6" t="s">
        <v>177</v>
      </c>
      <c r="D30" s="7" t="s">
        <v>326</v>
      </c>
      <c r="E30" s="10"/>
      <c r="F30" s="10"/>
    </row>
    <row r="31" ht="34" customHeight="1" spans="1:6">
      <c r="A31" s="15" t="s">
        <v>322</v>
      </c>
      <c r="B31" s="5" t="s">
        <v>323</v>
      </c>
      <c r="C31" s="11" t="s">
        <v>279</v>
      </c>
      <c r="D31" s="7" t="s">
        <v>327</v>
      </c>
      <c r="E31" s="8" t="s">
        <v>328</v>
      </c>
      <c r="F31" s="9" t="s">
        <v>329</v>
      </c>
    </row>
    <row r="32" ht="34" customHeight="1" spans="1:6">
      <c r="A32" s="15" t="s">
        <v>322</v>
      </c>
      <c r="B32" s="5" t="s">
        <v>323</v>
      </c>
      <c r="C32" s="11" t="s">
        <v>279</v>
      </c>
      <c r="D32" s="7" t="s">
        <v>330</v>
      </c>
      <c r="E32" s="10"/>
      <c r="F32" s="10"/>
    </row>
    <row r="33" ht="34" customHeight="1" spans="1:6">
      <c r="A33" s="15" t="s">
        <v>322</v>
      </c>
      <c r="B33" s="5" t="s">
        <v>323</v>
      </c>
      <c r="C33" s="11" t="s">
        <v>279</v>
      </c>
      <c r="D33" s="7" t="s">
        <v>331</v>
      </c>
      <c r="E33" s="10"/>
      <c r="F33" s="10"/>
    </row>
    <row r="34" ht="34" customHeight="1" spans="1:6">
      <c r="A34" s="15" t="s">
        <v>322</v>
      </c>
      <c r="B34" s="5" t="s">
        <v>323</v>
      </c>
      <c r="C34" s="12" t="s">
        <v>286</v>
      </c>
      <c r="D34" s="7" t="s">
        <v>332</v>
      </c>
      <c r="E34" s="8" t="s">
        <v>333</v>
      </c>
      <c r="F34" s="9"/>
    </row>
    <row r="35" ht="34" customHeight="1" spans="1:6">
      <c r="A35" s="15" t="s">
        <v>322</v>
      </c>
      <c r="B35" s="5" t="s">
        <v>323</v>
      </c>
      <c r="C35" s="12" t="s">
        <v>286</v>
      </c>
      <c r="D35" s="7" t="s">
        <v>334</v>
      </c>
      <c r="E35" s="10"/>
      <c r="F35" s="10"/>
    </row>
    <row r="36" ht="34" customHeight="1" spans="1:6">
      <c r="A36" s="15" t="s">
        <v>322</v>
      </c>
      <c r="B36" s="5" t="s">
        <v>323</v>
      </c>
      <c r="C36" s="12" t="s">
        <v>286</v>
      </c>
      <c r="D36" s="7" t="s">
        <v>335</v>
      </c>
      <c r="E36" s="10"/>
      <c r="F36" s="10"/>
    </row>
    <row r="37" ht="34" customHeight="1" spans="1:6">
      <c r="A37" s="15" t="s">
        <v>322</v>
      </c>
      <c r="B37" s="5" t="s">
        <v>323</v>
      </c>
      <c r="C37" s="13" t="s">
        <v>292</v>
      </c>
      <c r="D37" s="7" t="s">
        <v>336</v>
      </c>
      <c r="E37" s="8" t="s">
        <v>337</v>
      </c>
      <c r="F37" s="9"/>
    </row>
    <row r="38" ht="34" customHeight="1" spans="1:6">
      <c r="A38" s="15" t="s">
        <v>322</v>
      </c>
      <c r="B38" s="5" t="s">
        <v>338</v>
      </c>
      <c r="C38" s="6" t="s">
        <v>177</v>
      </c>
      <c r="D38" s="7" t="s">
        <v>339</v>
      </c>
      <c r="E38" s="8" t="s">
        <v>340</v>
      </c>
      <c r="F38" s="9"/>
    </row>
    <row r="39" ht="34" customHeight="1" spans="1:6">
      <c r="A39" s="15" t="s">
        <v>322</v>
      </c>
      <c r="B39" s="5" t="s">
        <v>338</v>
      </c>
      <c r="C39" s="6" t="s">
        <v>177</v>
      </c>
      <c r="D39" s="7" t="s">
        <v>341</v>
      </c>
      <c r="E39" s="10"/>
      <c r="F39" s="10"/>
    </row>
    <row r="40" ht="34" customHeight="1" spans="1:6">
      <c r="A40" s="15" t="s">
        <v>322</v>
      </c>
      <c r="B40" s="5" t="s">
        <v>338</v>
      </c>
      <c r="C40" s="11" t="s">
        <v>279</v>
      </c>
      <c r="D40" s="7" t="s">
        <v>342</v>
      </c>
      <c r="E40" s="8" t="s">
        <v>343</v>
      </c>
      <c r="F40" s="9"/>
    </row>
    <row r="41" ht="34" customHeight="1" spans="1:6">
      <c r="A41" s="15" t="s">
        <v>322</v>
      </c>
      <c r="B41" s="5" t="s">
        <v>338</v>
      </c>
      <c r="C41" s="11" t="s">
        <v>279</v>
      </c>
      <c r="D41" s="7" t="s">
        <v>344</v>
      </c>
      <c r="E41" s="10"/>
      <c r="F41" s="10"/>
    </row>
    <row r="42" ht="34" customHeight="1" spans="1:6">
      <c r="A42" s="15" t="s">
        <v>322</v>
      </c>
      <c r="B42" s="5" t="s">
        <v>338</v>
      </c>
      <c r="C42" s="11" t="s">
        <v>279</v>
      </c>
      <c r="D42" s="7" t="s">
        <v>345</v>
      </c>
      <c r="E42" s="10"/>
      <c r="F42" s="10"/>
    </row>
    <row r="43" ht="34" customHeight="1" spans="1:6">
      <c r="A43" s="15" t="s">
        <v>322</v>
      </c>
      <c r="B43" s="5" t="s">
        <v>338</v>
      </c>
      <c r="C43" s="12" t="s">
        <v>286</v>
      </c>
      <c r="D43" s="7" t="s">
        <v>346</v>
      </c>
      <c r="E43" s="8" t="s">
        <v>347</v>
      </c>
      <c r="F43" s="9"/>
    </row>
    <row r="44" ht="34" customHeight="1" spans="1:6">
      <c r="A44" s="15" t="s">
        <v>322</v>
      </c>
      <c r="B44" s="5" t="s">
        <v>338</v>
      </c>
      <c r="C44" s="12" t="s">
        <v>286</v>
      </c>
      <c r="D44" s="7" t="s">
        <v>348</v>
      </c>
      <c r="E44" s="10"/>
      <c r="F44" s="10"/>
    </row>
    <row r="45" ht="34" customHeight="1" spans="1:6">
      <c r="A45" s="15" t="s">
        <v>322</v>
      </c>
      <c r="B45" s="5" t="s">
        <v>338</v>
      </c>
      <c r="C45" s="13" t="s">
        <v>292</v>
      </c>
      <c r="D45" s="7" t="s">
        <v>349</v>
      </c>
      <c r="E45" s="8" t="s">
        <v>350</v>
      </c>
      <c r="F45" s="9"/>
    </row>
    <row r="46" ht="34" customHeight="1" spans="1:6">
      <c r="A46" s="16" t="s">
        <v>351</v>
      </c>
      <c r="B46" s="5" t="s">
        <v>352</v>
      </c>
      <c r="C46" s="6" t="s">
        <v>177</v>
      </c>
      <c r="D46" s="7" t="s">
        <v>353</v>
      </c>
      <c r="E46" s="8" t="s">
        <v>354</v>
      </c>
      <c r="F46" s="9"/>
    </row>
    <row r="47" ht="34" customHeight="1" spans="1:6">
      <c r="A47" s="16" t="s">
        <v>351</v>
      </c>
      <c r="B47" s="5" t="s">
        <v>352</v>
      </c>
      <c r="C47" s="6" t="s">
        <v>177</v>
      </c>
      <c r="D47" s="7" t="s">
        <v>355</v>
      </c>
      <c r="E47" s="10"/>
      <c r="F47" s="10"/>
    </row>
    <row r="48" ht="34" customHeight="1" spans="1:6">
      <c r="A48" s="16" t="s">
        <v>351</v>
      </c>
      <c r="B48" s="5" t="s">
        <v>352</v>
      </c>
      <c r="C48" s="11" t="s">
        <v>279</v>
      </c>
      <c r="D48" s="7" t="s">
        <v>356</v>
      </c>
      <c r="E48" s="8" t="s">
        <v>357</v>
      </c>
      <c r="F48" s="9"/>
    </row>
    <row r="49" ht="34" customHeight="1" spans="1:6">
      <c r="A49" s="16" t="s">
        <v>351</v>
      </c>
      <c r="B49" s="5" t="s">
        <v>352</v>
      </c>
      <c r="C49" s="11" t="s">
        <v>279</v>
      </c>
      <c r="D49" s="7" t="s">
        <v>358</v>
      </c>
      <c r="E49" s="10"/>
      <c r="F49" s="10"/>
    </row>
    <row r="50" ht="34" customHeight="1" spans="1:6">
      <c r="A50" s="16" t="s">
        <v>351</v>
      </c>
      <c r="B50" s="5" t="s">
        <v>352</v>
      </c>
      <c r="C50" s="11" t="s">
        <v>279</v>
      </c>
      <c r="D50" s="7" t="s">
        <v>359</v>
      </c>
      <c r="E50" s="10"/>
      <c r="F50" s="10"/>
    </row>
    <row r="51" ht="34" customHeight="1" spans="1:6">
      <c r="A51" s="16" t="s">
        <v>351</v>
      </c>
      <c r="B51" s="5" t="s">
        <v>352</v>
      </c>
      <c r="C51" s="12" t="s">
        <v>286</v>
      </c>
      <c r="D51" s="7" t="s">
        <v>360</v>
      </c>
      <c r="E51" s="8" t="s">
        <v>361</v>
      </c>
      <c r="F51" s="9"/>
    </row>
    <row r="52" ht="34" customHeight="1" spans="1:6">
      <c r="A52" s="16" t="s">
        <v>351</v>
      </c>
      <c r="B52" s="5" t="s">
        <v>352</v>
      </c>
      <c r="C52" s="12" t="s">
        <v>286</v>
      </c>
      <c r="D52" s="7" t="s">
        <v>362</v>
      </c>
      <c r="E52" s="10"/>
      <c r="F52" s="10"/>
    </row>
    <row r="53" ht="34" customHeight="1" spans="1:6">
      <c r="A53" s="16" t="s">
        <v>351</v>
      </c>
      <c r="B53" s="5" t="s">
        <v>352</v>
      </c>
      <c r="C53" s="12" t="s">
        <v>286</v>
      </c>
      <c r="D53" s="7" t="s">
        <v>363</v>
      </c>
      <c r="E53" s="10"/>
      <c r="F53" s="10"/>
    </row>
    <row r="54" ht="34" customHeight="1" spans="1:6">
      <c r="A54" s="16" t="s">
        <v>351</v>
      </c>
      <c r="B54" s="5" t="s">
        <v>352</v>
      </c>
      <c r="C54" s="13" t="s">
        <v>292</v>
      </c>
      <c r="D54" s="7" t="s">
        <v>364</v>
      </c>
      <c r="E54" s="8" t="s">
        <v>365</v>
      </c>
      <c r="F54" s="9"/>
    </row>
    <row r="55" ht="34" customHeight="1" spans="1:6">
      <c r="A55" s="16" t="s">
        <v>351</v>
      </c>
      <c r="B55" s="5" t="s">
        <v>366</v>
      </c>
      <c r="C55" s="6" t="s">
        <v>177</v>
      </c>
      <c r="D55" s="7" t="s">
        <v>367</v>
      </c>
      <c r="E55" s="8" t="s">
        <v>368</v>
      </c>
      <c r="F55" s="9"/>
    </row>
    <row r="56" ht="34" customHeight="1" spans="1:6">
      <c r="A56" s="16" t="s">
        <v>351</v>
      </c>
      <c r="B56" s="5" t="s">
        <v>366</v>
      </c>
      <c r="C56" s="11" t="s">
        <v>279</v>
      </c>
      <c r="D56" s="7" t="s">
        <v>369</v>
      </c>
      <c r="E56" s="8" t="s">
        <v>370</v>
      </c>
      <c r="F56" s="9"/>
    </row>
    <row r="57" ht="34" customHeight="1" spans="1:6">
      <c r="A57" s="16" t="s">
        <v>351</v>
      </c>
      <c r="B57" s="5" t="s">
        <v>366</v>
      </c>
      <c r="C57" s="11" t="s">
        <v>279</v>
      </c>
      <c r="D57" s="7" t="s">
        <v>371</v>
      </c>
      <c r="E57" s="10"/>
      <c r="F57" s="10"/>
    </row>
    <row r="58" ht="34" customHeight="1" spans="1:6">
      <c r="A58" s="16" t="s">
        <v>351</v>
      </c>
      <c r="B58" s="5" t="s">
        <v>366</v>
      </c>
      <c r="C58" s="12" t="s">
        <v>286</v>
      </c>
      <c r="D58" s="7" t="s">
        <v>372</v>
      </c>
      <c r="E58" s="8" t="s">
        <v>373</v>
      </c>
      <c r="F58" s="9"/>
    </row>
    <row r="59" ht="34" customHeight="1" spans="1:6">
      <c r="A59" s="16" t="s">
        <v>351</v>
      </c>
      <c r="B59" s="5" t="s">
        <v>366</v>
      </c>
      <c r="C59" s="12" t="s">
        <v>286</v>
      </c>
      <c r="D59" s="7" t="s">
        <v>374</v>
      </c>
      <c r="E59" s="10"/>
      <c r="F59" s="10"/>
    </row>
    <row r="60" ht="34" customHeight="1" spans="1:6">
      <c r="A60" s="16" t="s">
        <v>351</v>
      </c>
      <c r="B60" s="5" t="s">
        <v>366</v>
      </c>
      <c r="C60" s="12" t="s">
        <v>286</v>
      </c>
      <c r="D60" s="7" t="s">
        <v>375</v>
      </c>
      <c r="E60" s="10"/>
      <c r="F60" s="10"/>
    </row>
    <row r="61" ht="34" customHeight="1" spans="1:6">
      <c r="A61" s="16" t="s">
        <v>351</v>
      </c>
      <c r="B61" s="5" t="s">
        <v>366</v>
      </c>
      <c r="C61" s="13" t="s">
        <v>292</v>
      </c>
      <c r="D61" s="7" t="s">
        <v>376</v>
      </c>
      <c r="E61" s="8" t="s">
        <v>377</v>
      </c>
      <c r="F61" s="9"/>
    </row>
    <row r="62" ht="34" customHeight="1" spans="1:6">
      <c r="A62" s="16" t="s">
        <v>351</v>
      </c>
      <c r="B62" s="5" t="s">
        <v>378</v>
      </c>
      <c r="C62" s="6" t="s">
        <v>177</v>
      </c>
      <c r="D62" s="7" t="s">
        <v>379</v>
      </c>
      <c r="E62" s="8" t="s">
        <v>380</v>
      </c>
      <c r="F62" s="9"/>
    </row>
    <row r="63" ht="34" customHeight="1" spans="1:6">
      <c r="A63" s="16" t="s">
        <v>351</v>
      </c>
      <c r="B63" s="5" t="s">
        <v>378</v>
      </c>
      <c r="C63" s="6" t="s">
        <v>177</v>
      </c>
      <c r="D63" s="7" t="s">
        <v>381</v>
      </c>
      <c r="E63" s="10"/>
      <c r="F63" s="10"/>
    </row>
    <row r="64" ht="34" customHeight="1" spans="1:6">
      <c r="A64" s="16" t="s">
        <v>351</v>
      </c>
      <c r="B64" s="5" t="s">
        <v>378</v>
      </c>
      <c r="C64" s="11" t="s">
        <v>279</v>
      </c>
      <c r="D64" s="7" t="s">
        <v>382</v>
      </c>
      <c r="E64" s="8" t="s">
        <v>383</v>
      </c>
      <c r="F64" s="9"/>
    </row>
    <row r="65" ht="34" customHeight="1" spans="1:6">
      <c r="A65" s="16" t="s">
        <v>351</v>
      </c>
      <c r="B65" s="5" t="s">
        <v>378</v>
      </c>
      <c r="C65" s="11" t="s">
        <v>279</v>
      </c>
      <c r="D65" s="7" t="s">
        <v>384</v>
      </c>
      <c r="E65" s="10"/>
      <c r="F65" s="10"/>
    </row>
    <row r="66" ht="34" customHeight="1" spans="1:6">
      <c r="A66" s="16" t="s">
        <v>351</v>
      </c>
      <c r="B66" s="5" t="s">
        <v>378</v>
      </c>
      <c r="C66" s="12" t="s">
        <v>286</v>
      </c>
      <c r="D66" s="7" t="s">
        <v>385</v>
      </c>
      <c r="E66" s="8" t="s">
        <v>386</v>
      </c>
      <c r="F66" s="9"/>
    </row>
    <row r="67" ht="34" customHeight="1" spans="1:6">
      <c r="A67" s="16" t="s">
        <v>351</v>
      </c>
      <c r="B67" s="5" t="s">
        <v>378</v>
      </c>
      <c r="C67" s="12" t="s">
        <v>286</v>
      </c>
      <c r="D67" s="7" t="s">
        <v>387</v>
      </c>
      <c r="E67" s="10"/>
      <c r="F67" s="10"/>
    </row>
    <row r="68" ht="34" customHeight="1" spans="1:6">
      <c r="A68" s="16" t="s">
        <v>351</v>
      </c>
      <c r="B68" s="5" t="s">
        <v>378</v>
      </c>
      <c r="C68" s="12" t="s">
        <v>286</v>
      </c>
      <c r="D68" s="7" t="s">
        <v>388</v>
      </c>
      <c r="E68" s="10"/>
      <c r="F68" s="10"/>
    </row>
    <row r="69" ht="34" customHeight="1" spans="1:6">
      <c r="A69" s="17" t="s">
        <v>389</v>
      </c>
      <c r="B69" s="5" t="s">
        <v>390</v>
      </c>
      <c r="C69" s="6" t="s">
        <v>177</v>
      </c>
      <c r="D69" s="7" t="s">
        <v>391</v>
      </c>
      <c r="E69" s="8" t="s">
        <v>392</v>
      </c>
      <c r="F69" s="9"/>
    </row>
    <row r="70" ht="34" customHeight="1" spans="1:6">
      <c r="A70" s="17" t="s">
        <v>389</v>
      </c>
      <c r="B70" s="5" t="s">
        <v>390</v>
      </c>
      <c r="C70" s="6" t="s">
        <v>177</v>
      </c>
      <c r="D70" s="7" t="s">
        <v>393</v>
      </c>
      <c r="E70" s="10"/>
      <c r="F70" s="10"/>
    </row>
    <row r="71" ht="34" customHeight="1" spans="1:6">
      <c r="A71" s="17" t="s">
        <v>389</v>
      </c>
      <c r="B71" s="5" t="s">
        <v>390</v>
      </c>
      <c r="C71" s="11" t="s">
        <v>279</v>
      </c>
      <c r="D71" s="7" t="s">
        <v>394</v>
      </c>
      <c r="E71" s="8" t="s">
        <v>395</v>
      </c>
      <c r="F71" s="9" t="s">
        <v>396</v>
      </c>
    </row>
    <row r="72" ht="34" customHeight="1" spans="1:6">
      <c r="A72" s="17" t="s">
        <v>389</v>
      </c>
      <c r="B72" s="5" t="s">
        <v>390</v>
      </c>
      <c r="C72" s="11" t="s">
        <v>279</v>
      </c>
      <c r="D72" s="7" t="s">
        <v>397</v>
      </c>
      <c r="E72" s="10"/>
      <c r="F72" s="10"/>
    </row>
    <row r="73" ht="34" customHeight="1" spans="1:6">
      <c r="A73" s="17" t="s">
        <v>389</v>
      </c>
      <c r="B73" s="5" t="s">
        <v>390</v>
      </c>
      <c r="C73" s="11" t="s">
        <v>279</v>
      </c>
      <c r="D73" s="7" t="s">
        <v>398</v>
      </c>
      <c r="E73" s="10"/>
      <c r="F73" s="10"/>
    </row>
    <row r="74" ht="34" customHeight="1" spans="1:6">
      <c r="A74" s="17" t="s">
        <v>389</v>
      </c>
      <c r="B74" s="5" t="s">
        <v>390</v>
      </c>
      <c r="C74" s="12" t="s">
        <v>286</v>
      </c>
      <c r="D74" s="7" t="s">
        <v>399</v>
      </c>
      <c r="E74" s="8" t="s">
        <v>400</v>
      </c>
      <c r="F74" s="9" t="s">
        <v>401</v>
      </c>
    </row>
    <row r="75" ht="34" customHeight="1" spans="1:6">
      <c r="A75" s="17" t="s">
        <v>389</v>
      </c>
      <c r="B75" s="5" t="s">
        <v>390</v>
      </c>
      <c r="C75" s="12" t="s">
        <v>286</v>
      </c>
      <c r="D75" s="7" t="s">
        <v>402</v>
      </c>
      <c r="E75" s="10"/>
      <c r="F75" s="10"/>
    </row>
    <row r="76" ht="34" customHeight="1" spans="1:6">
      <c r="A76" s="17" t="s">
        <v>389</v>
      </c>
      <c r="B76" s="5" t="s">
        <v>390</v>
      </c>
      <c r="C76" s="13" t="s">
        <v>292</v>
      </c>
      <c r="D76" s="7" t="s">
        <v>403</v>
      </c>
      <c r="E76" s="8" t="s">
        <v>404</v>
      </c>
      <c r="F76" s="9"/>
    </row>
    <row r="77" ht="34" customHeight="1" spans="1:6">
      <c r="A77" s="17" t="s">
        <v>389</v>
      </c>
      <c r="B77" s="5" t="s">
        <v>405</v>
      </c>
      <c r="C77" s="6" t="s">
        <v>177</v>
      </c>
      <c r="D77" s="7" t="s">
        <v>406</v>
      </c>
      <c r="E77" s="8" t="s">
        <v>407</v>
      </c>
      <c r="F77" s="9" t="s">
        <v>408</v>
      </c>
    </row>
    <row r="78" ht="34" customHeight="1" spans="1:6">
      <c r="A78" s="17" t="s">
        <v>389</v>
      </c>
      <c r="B78" s="5" t="s">
        <v>405</v>
      </c>
      <c r="C78" s="6" t="s">
        <v>177</v>
      </c>
      <c r="D78" s="7" t="s">
        <v>409</v>
      </c>
      <c r="E78" s="10"/>
      <c r="F78" s="10"/>
    </row>
    <row r="79" ht="34" customHeight="1" spans="1:6">
      <c r="A79" s="17" t="s">
        <v>389</v>
      </c>
      <c r="B79" s="5" t="s">
        <v>405</v>
      </c>
      <c r="C79" s="11" t="s">
        <v>279</v>
      </c>
      <c r="D79" s="7" t="s">
        <v>410</v>
      </c>
      <c r="E79" s="8" t="s">
        <v>411</v>
      </c>
      <c r="F79" s="9"/>
    </row>
    <row r="80" ht="34" customHeight="1" spans="1:6">
      <c r="A80" s="17" t="s">
        <v>389</v>
      </c>
      <c r="B80" s="5" t="s">
        <v>405</v>
      </c>
      <c r="C80" s="11" t="s">
        <v>279</v>
      </c>
      <c r="D80" s="7" t="s">
        <v>412</v>
      </c>
      <c r="E80" s="10"/>
      <c r="F80" s="10"/>
    </row>
    <row r="81" ht="34" customHeight="1" spans="1:6">
      <c r="A81" s="17" t="s">
        <v>389</v>
      </c>
      <c r="B81" s="5" t="s">
        <v>405</v>
      </c>
      <c r="C81" s="12" t="s">
        <v>286</v>
      </c>
      <c r="D81" s="7" t="s">
        <v>413</v>
      </c>
      <c r="E81" s="8" t="s">
        <v>414</v>
      </c>
      <c r="F81" s="9"/>
    </row>
    <row r="82" ht="34" customHeight="1" spans="1:6">
      <c r="A82" s="17" t="s">
        <v>389</v>
      </c>
      <c r="B82" s="5" t="s">
        <v>405</v>
      </c>
      <c r="C82" s="12" t="s">
        <v>286</v>
      </c>
      <c r="D82" s="7" t="s">
        <v>415</v>
      </c>
      <c r="E82" s="10"/>
      <c r="F82" s="10"/>
    </row>
    <row r="83" ht="34" customHeight="1" spans="1:6">
      <c r="A83" s="17" t="s">
        <v>389</v>
      </c>
      <c r="B83" s="5" t="s">
        <v>405</v>
      </c>
      <c r="C83" s="13" t="s">
        <v>292</v>
      </c>
      <c r="D83" s="7" t="s">
        <v>416</v>
      </c>
      <c r="E83" s="8" t="s">
        <v>417</v>
      </c>
      <c r="F83" s="9"/>
    </row>
    <row r="84" ht="34" customHeight="1" spans="1:6">
      <c r="A84" s="18" t="s">
        <v>210</v>
      </c>
      <c r="B84" s="5" t="s">
        <v>254</v>
      </c>
      <c r="C84" s="6" t="s">
        <v>177</v>
      </c>
      <c r="D84" s="7" t="s">
        <v>418</v>
      </c>
      <c r="E84" s="8" t="s">
        <v>419</v>
      </c>
      <c r="F84" s="9" t="s">
        <v>420</v>
      </c>
    </row>
    <row r="85" ht="34" customHeight="1" spans="1:6">
      <c r="A85" s="18" t="s">
        <v>210</v>
      </c>
      <c r="B85" s="5" t="s">
        <v>254</v>
      </c>
      <c r="C85" s="6" t="s">
        <v>177</v>
      </c>
      <c r="D85" s="7" t="s">
        <v>421</v>
      </c>
      <c r="E85" s="10"/>
      <c r="F85" s="10"/>
    </row>
    <row r="86" ht="34" customHeight="1" spans="1:6">
      <c r="A86" s="18" t="s">
        <v>210</v>
      </c>
      <c r="B86" s="5" t="s">
        <v>254</v>
      </c>
      <c r="C86" s="11" t="s">
        <v>279</v>
      </c>
      <c r="D86" s="7" t="s">
        <v>422</v>
      </c>
      <c r="E86" s="8" t="s">
        <v>423</v>
      </c>
      <c r="F86" s="9"/>
    </row>
    <row r="87" ht="34" customHeight="1" spans="1:6">
      <c r="A87" s="18" t="s">
        <v>210</v>
      </c>
      <c r="B87" s="5" t="s">
        <v>254</v>
      </c>
      <c r="C87" s="11" t="s">
        <v>279</v>
      </c>
      <c r="D87" s="7" t="s">
        <v>424</v>
      </c>
      <c r="E87" s="10"/>
      <c r="F87" s="10"/>
    </row>
    <row r="88" ht="34" customHeight="1" spans="1:6">
      <c r="A88" s="18" t="s">
        <v>210</v>
      </c>
      <c r="B88" s="5" t="s">
        <v>254</v>
      </c>
      <c r="C88" s="12" t="s">
        <v>286</v>
      </c>
      <c r="D88" s="7" t="s">
        <v>425</v>
      </c>
      <c r="E88" s="8" t="s">
        <v>426</v>
      </c>
      <c r="F88" s="9" t="s">
        <v>427</v>
      </c>
    </row>
    <row r="89" ht="34" customHeight="1" spans="1:6">
      <c r="A89" s="18" t="s">
        <v>210</v>
      </c>
      <c r="B89" s="5" t="s">
        <v>254</v>
      </c>
      <c r="C89" s="12" t="s">
        <v>286</v>
      </c>
      <c r="D89" s="7" t="s">
        <v>428</v>
      </c>
      <c r="E89" s="10"/>
      <c r="F89" s="10"/>
    </row>
    <row r="90" ht="34" customHeight="1" spans="1:6">
      <c r="A90" s="19" t="s">
        <v>429</v>
      </c>
      <c r="B90" s="5" t="s">
        <v>261</v>
      </c>
      <c r="C90" s="6" t="s">
        <v>177</v>
      </c>
      <c r="D90" s="7" t="s">
        <v>430</v>
      </c>
      <c r="E90" s="8" t="s">
        <v>431</v>
      </c>
      <c r="F90" s="9"/>
    </row>
    <row r="91" ht="34" customHeight="1" spans="1:6">
      <c r="A91" s="19" t="s">
        <v>429</v>
      </c>
      <c r="B91" s="5" t="s">
        <v>261</v>
      </c>
      <c r="C91" s="6" t="s">
        <v>177</v>
      </c>
      <c r="D91" s="7" t="s">
        <v>432</v>
      </c>
      <c r="E91" s="10"/>
      <c r="F91" s="10"/>
    </row>
    <row r="92" ht="34" customHeight="1" spans="1:6">
      <c r="A92" s="19" t="s">
        <v>429</v>
      </c>
      <c r="B92" s="5" t="s">
        <v>261</v>
      </c>
      <c r="C92" s="11" t="s">
        <v>279</v>
      </c>
      <c r="D92" s="7" t="s">
        <v>433</v>
      </c>
      <c r="E92" s="8" t="s">
        <v>434</v>
      </c>
      <c r="F92" s="9" t="s">
        <v>427</v>
      </c>
    </row>
    <row r="93" ht="34" customHeight="1" spans="1:6">
      <c r="A93" s="19" t="s">
        <v>429</v>
      </c>
      <c r="B93" s="5" t="s">
        <v>261</v>
      </c>
      <c r="C93" s="11" t="s">
        <v>279</v>
      </c>
      <c r="D93" s="7" t="s">
        <v>435</v>
      </c>
      <c r="E93" s="10"/>
      <c r="F93" s="10"/>
    </row>
    <row r="94" ht="34" customHeight="1" spans="1:6">
      <c r="A94" s="19" t="s">
        <v>429</v>
      </c>
      <c r="B94" s="5" t="s">
        <v>261</v>
      </c>
      <c r="C94" s="12" t="s">
        <v>286</v>
      </c>
      <c r="D94" s="7" t="s">
        <v>436</v>
      </c>
      <c r="E94" s="8" t="s">
        <v>437</v>
      </c>
      <c r="F94" s="9" t="s">
        <v>427</v>
      </c>
    </row>
    <row r="95" ht="34" customHeight="1" spans="1:6">
      <c r="A95" s="19" t="s">
        <v>429</v>
      </c>
      <c r="B95" s="5" t="s">
        <v>261</v>
      </c>
      <c r="C95" s="12" t="s">
        <v>286</v>
      </c>
      <c r="D95" s="7" t="s">
        <v>438</v>
      </c>
      <c r="E95" s="10"/>
      <c r="F95" s="10"/>
    </row>
    <row r="96" ht="34" customHeight="1" spans="1:6">
      <c r="A96" s="19" t="s">
        <v>429</v>
      </c>
      <c r="B96" s="5" t="s">
        <v>261</v>
      </c>
      <c r="C96" s="13" t="s">
        <v>292</v>
      </c>
      <c r="D96" s="7" t="s">
        <v>439</v>
      </c>
      <c r="E96" s="8" t="s">
        <v>440</v>
      </c>
      <c r="F96" s="9"/>
    </row>
  </sheetData>
  <autoFilter xmlns:etc="http://www.wps.cn/officeDocument/2017/etCustomData" ref="A1:F96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D4"/>
  <sheetViews>
    <sheetView zoomScale="115" zoomScaleNormal="115" workbookViewId="0">
      <selection activeCell="A1" sqref="A1"/>
    </sheetView>
  </sheetViews>
  <sheetFormatPr defaultColWidth="9" defaultRowHeight="16.8" outlineLevelRow="3" outlineLevelCol="3"/>
  <cols>
    <col min="1" max="1" width="20.7307692307692" customWidth="1"/>
    <col min="2" max="2" width="51.4519230769231" customWidth="1"/>
    <col min="3" max="3" width="85.2692307692308" customWidth="1"/>
    <col min="4" max="4" width="79.0865384615385" customWidth="1"/>
  </cols>
  <sheetData>
    <row r="1" spans="1:4">
      <c r="A1" s="1" t="s">
        <v>441</v>
      </c>
      <c r="B1" s="1" t="s">
        <v>442</v>
      </c>
      <c r="C1" s="1" t="s">
        <v>443</v>
      </c>
      <c r="D1" s="1" t="s">
        <v>444</v>
      </c>
    </row>
    <row r="2" ht="26" customHeight="1" spans="1:4">
      <c r="A2" s="2" t="s">
        <v>445</v>
      </c>
      <c r="B2" s="2" t="s">
        <v>446</v>
      </c>
      <c r="C2" s="2" t="s">
        <v>447</v>
      </c>
      <c r="D2" s="2" t="s">
        <v>448</v>
      </c>
    </row>
    <row r="3" ht="26" customHeight="1" spans="1:4">
      <c r="A3" s="2" t="s">
        <v>449</v>
      </c>
      <c r="B3" s="2" t="s">
        <v>450</v>
      </c>
      <c r="C3" s="2" t="s">
        <v>451</v>
      </c>
      <c r="D3" s="2" t="s">
        <v>452</v>
      </c>
    </row>
    <row r="4" ht="26" customHeight="1" spans="1:4">
      <c r="A4" s="2" t="s">
        <v>453</v>
      </c>
      <c r="B4" s="2" t="s">
        <v>454</v>
      </c>
      <c r="C4" s="2" t="s">
        <v>455</v>
      </c>
      <c r="D4" s="2" t="s">
        <v>456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风险清单 (2)</vt:lpstr>
      <vt:lpstr>Scope-Phase1</vt:lpstr>
      <vt:lpstr>团队角色与分工1</vt:lpstr>
      <vt:lpstr>风险清单</vt:lpstr>
      <vt:lpstr> 计划总览1</vt:lpstr>
      <vt:lpstr>周计划明细1</vt:lpstr>
      <vt:lpstr>影响分析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2026-09-02T06:05:00Z</dcterms:created>
  <dcterms:modified xsi:type="dcterms:W3CDTF">2026-09-01T14:47:09Z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D92911F50108412A4D6B966A2E263C51_42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